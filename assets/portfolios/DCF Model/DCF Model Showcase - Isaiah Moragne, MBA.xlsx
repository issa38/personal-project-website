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a9b69796bc81cf/Desktop/Work/personal-project-website/assets/portfolios/DCF Model/"/>
    </mc:Choice>
  </mc:AlternateContent>
  <xr:revisionPtr revIDLastSave="16" documentId="8_{B767CFA0-899C-41F3-95D6-D71664C24719}" xr6:coauthVersionLast="47" xr6:coauthVersionMax="47" xr10:uidLastSave="{34E28279-B9CB-425B-B26F-F19B300FA891}"/>
  <bookViews>
    <workbookView xWindow="8835" yWindow="4710" windowWidth="43200" windowHeight="23130" activeTab="1" xr2:uid="{46D576E4-41A9-495D-9A08-19AEBFBFCD00}"/>
  </bookViews>
  <sheets>
    <sheet name="Cover" sheetId="17" r:id="rId1"/>
    <sheet name="DCF" sheetId="1" r:id="rId2"/>
    <sheet name="Model Inputs" sheetId="11" r:id="rId3"/>
    <sheet name="WACC" sheetId="2" r:id="rId4"/>
    <sheet name="Working Capital" sheetId="14" r:id="rId5"/>
    <sheet name="3 Statements" sheetId="4" r:id="rId6"/>
    <sheet name="Historical Actuals" sheetId="16" r:id="rId7"/>
    <sheet name="Model Checks" sheetId="12" r:id="rId8"/>
    <sheet name="Source Audit" sheetId="13" r:id="rId9"/>
    <sheet name="Data Queries" sheetId="3" r:id="rId10"/>
    <sheet name="Query Setup" sheetId="15" r:id="rId11"/>
  </sheets>
  <definedNames>
    <definedName name="BetaFallback">'Model Inputs'!$B$16</definedName>
    <definedName name="ExternalData_1" localSheetId="5" hidden="1">'3 Statements'!$J$2:$O$20</definedName>
    <definedName name="ExternalData_1" localSheetId="9" hidden="1">'Data Queries'!$A$1:$B$2</definedName>
    <definedName name="ExternalData_2" localSheetId="9" hidden="1">'Data Queries'!$D$1:$E$17</definedName>
    <definedName name="ExternalData_3" localSheetId="9" hidden="1">'Data Queries'!$G$1:$J$8</definedName>
    <definedName name="ExternalData_5" localSheetId="9" hidden="1">'Data Queries'!$A$25:$K$26</definedName>
    <definedName name="ExternalData_6" localSheetId="5" hidden="1">'3 Statements'!$B$2:$G$29</definedName>
    <definedName name="ExternalData_6" localSheetId="9" hidden="1">'Data Queries'!$A$22:$L$23</definedName>
    <definedName name="ExternalData_7" localSheetId="5" hidden="1">'3 Statements'!$R$2:$W$26</definedName>
    <definedName name="TickerCell">DCF!$A$3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8" i="11" l="1"/>
  <c r="C9" i="11"/>
  <c r="C10" i="11"/>
  <c r="C11" i="11"/>
  <c r="C12" i="11"/>
  <c r="C13" i="11"/>
  <c r="C14" i="11"/>
  <c r="C15" i="11"/>
  <c r="C16" i="11"/>
  <c r="C17" i="11"/>
  <c r="C18" i="11"/>
  <c r="C19" i="11"/>
  <c r="C7" i="11"/>
  <c r="F26" i="13"/>
  <c r="B26" i="13"/>
  <c r="D26" i="13" s="1"/>
  <c r="F25" i="13"/>
  <c r="B25" i="13"/>
  <c r="D25" i="13" s="1"/>
  <c r="F24" i="13"/>
  <c r="B24" i="13"/>
  <c r="D24" i="13" s="1"/>
  <c r="F23" i="13"/>
  <c r="B23" i="13"/>
  <c r="D23" i="13" s="1"/>
  <c r="F22" i="13"/>
  <c r="B22" i="13"/>
  <c r="D22" i="13" s="1"/>
  <c r="F20" i="13"/>
  <c r="B20" i="13"/>
  <c r="D20" i="13" s="1"/>
  <c r="F19" i="13"/>
  <c r="B19" i="13"/>
  <c r="D19" i="13" s="1"/>
  <c r="B39" i="12"/>
  <c r="D39" i="12" s="1"/>
  <c r="B32" i="12"/>
  <c r="B31" i="12"/>
  <c r="D31" i="12" s="1"/>
  <c r="B30" i="12"/>
  <c r="D30" i="12" s="1"/>
  <c r="B29" i="12"/>
  <c r="D29" i="12" s="1"/>
  <c r="B26" i="12"/>
  <c r="B24" i="12"/>
  <c r="D24" i="12" s="1"/>
  <c r="B5" i="12"/>
  <c r="D5" i="12" s="1"/>
  <c r="B40" i="12" a="1"/>
  <c r="B40" i="12" l="1"/>
  <c r="D40" i="12" s="1"/>
  <c r="B36" i="12"/>
  <c r="D36" i="12" s="1"/>
  <c r="C9" i="16"/>
  <c r="C8" i="16"/>
  <c r="C7" i="16"/>
  <c r="C5" i="16"/>
  <c r="C4" i="16"/>
  <c r="B11" i="14"/>
  <c r="B9" i="14"/>
  <c r="B8" i="14"/>
  <c r="B7" i="14"/>
  <c r="B6" i="14"/>
  <c r="B5" i="14"/>
  <c r="B4" i="14"/>
  <c r="B40" i="11"/>
  <c r="B35" i="11"/>
  <c r="B20" i="12" s="1"/>
  <c r="D20" i="12" s="1"/>
  <c r="B34" i="11"/>
  <c r="B19" i="12" s="1"/>
  <c r="D19" i="12" s="1"/>
  <c r="C8" i="13"/>
  <c r="C13" i="13"/>
  <c r="E13" i="13" s="1"/>
  <c r="C11" i="13"/>
  <c r="E11" i="13" s="1"/>
  <c r="C10" i="13"/>
  <c r="E10" i="13" s="1"/>
  <c r="C9" i="13"/>
  <c r="E9" i="13" s="1"/>
  <c r="C7" i="13"/>
  <c r="E7" i="13" s="1"/>
  <c r="C6" i="13"/>
  <c r="C5" i="13"/>
  <c r="C4" i="13"/>
  <c r="B55" i="1"/>
  <c r="B28" i="11"/>
  <c r="B29" i="11"/>
  <c r="B13" i="12" s="1"/>
  <c r="D13" i="12" s="1"/>
  <c r="B31" i="11"/>
  <c r="B6" i="2"/>
  <c r="B4" i="2"/>
  <c r="B26" i="11"/>
  <c r="B25" i="11"/>
  <c r="B7" i="12" s="1"/>
  <c r="D7" i="12" s="1"/>
  <c r="B20" i="11"/>
  <c r="B21" i="11"/>
  <c r="C19" i="2"/>
  <c r="C22" i="2"/>
  <c r="C21" i="2"/>
  <c r="C16" i="2"/>
  <c r="C20" i="2"/>
  <c r="C15" i="2"/>
  <c r="C18" i="2"/>
  <c r="C17" i="2"/>
  <c r="B11" i="12" l="1"/>
  <c r="D11" i="12" s="1"/>
  <c r="B41" i="1"/>
  <c r="D40" i="11"/>
  <c r="B9" i="12"/>
  <c r="D9" i="12" s="1"/>
  <c r="C12" i="13"/>
  <c r="E12" i="13" s="1"/>
  <c r="B16" i="12"/>
  <c r="D16" i="12" s="1"/>
  <c r="B20" i="1"/>
  <c r="B8" i="12"/>
  <c r="D8" i="12" s="1"/>
  <c r="C10" i="16"/>
  <c r="C6" i="16"/>
  <c r="B25" i="1"/>
  <c r="B10" i="14"/>
  <c r="B12" i="14" s="1"/>
  <c r="B27" i="11"/>
  <c r="B10" i="12" s="1"/>
  <c r="D10" i="12" s="1"/>
  <c r="C11" i="16"/>
  <c r="B5" i="2"/>
  <c r="B37" i="11"/>
  <c r="B38" i="11"/>
  <c r="B61" i="11" s="1"/>
  <c r="A82" i="1"/>
  <c r="A81" i="1"/>
  <c r="A80" i="1"/>
  <c r="F77" i="1"/>
  <c r="E77" i="1"/>
  <c r="D77" i="1"/>
  <c r="G56" i="1"/>
  <c r="F56" i="1"/>
  <c r="E56" i="1"/>
  <c r="D56" i="1"/>
  <c r="C56" i="1"/>
  <c r="B3" i="1"/>
  <c r="F65" i="11"/>
  <c r="E65" i="11"/>
  <c r="D65" i="11"/>
  <c r="C65" i="11"/>
  <c r="F55" i="11"/>
  <c r="F29" i="1" s="1"/>
  <c r="E55" i="11"/>
  <c r="E29" i="1" s="1"/>
  <c r="D55" i="11"/>
  <c r="D29" i="1" s="1"/>
  <c r="C55" i="11"/>
  <c r="C29" i="1" s="1"/>
  <c r="B29" i="1"/>
  <c r="F45" i="11"/>
  <c r="E45" i="11"/>
  <c r="D45" i="11"/>
  <c r="C45" i="11"/>
  <c r="B45" i="11"/>
  <c r="B39" i="11"/>
  <c r="E67" i="11"/>
  <c r="B43" i="1"/>
  <c r="B3" i="11"/>
  <c r="B32" i="11" l="1"/>
  <c r="B17" i="12" s="1"/>
  <c r="D17" i="12" s="1"/>
  <c r="D26" i="12"/>
  <c r="D32" i="12"/>
  <c r="B21" i="1"/>
  <c r="B33" i="11"/>
  <c r="B9" i="16"/>
  <c r="B11" i="16"/>
  <c r="B4" i="16"/>
  <c r="E8" i="13"/>
  <c r="D4" i="13"/>
  <c r="E4" i="13" s="1"/>
  <c r="B10" i="16"/>
  <c r="B10" i="2"/>
  <c r="B27" i="12" s="1"/>
  <c r="D27" i="12" s="1"/>
  <c r="B5" i="16"/>
  <c r="D6" i="13"/>
  <c r="E6" i="13" s="1"/>
  <c r="D5" i="13"/>
  <c r="E5" i="13" s="1"/>
  <c r="B8" i="16"/>
  <c r="B7" i="16"/>
  <c r="B6" i="16"/>
  <c r="B4" i="11"/>
  <c r="C41" i="1"/>
  <c r="D41" i="1" s="1"/>
  <c r="B44" i="1"/>
  <c r="D28" i="11"/>
  <c r="B12" i="12" s="1"/>
  <c r="D12" i="12" s="1"/>
  <c r="B36" i="11"/>
  <c r="D26" i="11"/>
  <c r="B5" i="1"/>
  <c r="B6" i="12" s="1"/>
  <c r="D6" i="12" s="1"/>
  <c r="C57" i="11"/>
  <c r="F67" i="11"/>
  <c r="F47" i="11"/>
  <c r="B70" i="11"/>
  <c r="E70" i="11"/>
  <c r="E50" i="11"/>
  <c r="E60" i="11"/>
  <c r="E34" i="1" s="1"/>
  <c r="B19" i="1"/>
  <c r="B15" i="1" s="1"/>
  <c r="F57" i="11"/>
  <c r="C47" i="11"/>
  <c r="C67" i="11"/>
  <c r="B16" i="2"/>
  <c r="D35" i="11"/>
  <c r="B30" i="11"/>
  <c r="B15" i="12" s="1"/>
  <c r="D15" i="12" s="1"/>
  <c r="D29" i="11"/>
  <c r="C70" i="11"/>
  <c r="F50" i="11"/>
  <c r="F60" i="11"/>
  <c r="F34" i="1" s="1"/>
  <c r="F70" i="11"/>
  <c r="C50" i="11"/>
  <c r="B51" i="11"/>
  <c r="D57" i="11"/>
  <c r="D67" i="11"/>
  <c r="D31" i="11"/>
  <c r="D39" i="11"/>
  <c r="D47" i="11"/>
  <c r="B23" i="1"/>
  <c r="D37" i="11"/>
  <c r="C60" i="11"/>
  <c r="D50" i="11"/>
  <c r="D60" i="11"/>
  <c r="D70" i="11"/>
  <c r="D25" i="11"/>
  <c r="B57" i="11"/>
  <c r="B47" i="11"/>
  <c r="B67" i="11"/>
  <c r="B50" i="11"/>
  <c r="B60" i="11"/>
  <c r="B11" i="2"/>
  <c r="E47" i="11"/>
  <c r="E57" i="11"/>
  <c r="B21" i="12" l="1"/>
  <c r="D21" i="12" s="1"/>
  <c r="B22" i="1"/>
  <c r="B11" i="1" s="1"/>
  <c r="B38" i="12"/>
  <c r="D38" i="12" s="1"/>
  <c r="B14" i="12"/>
  <c r="D14" i="12" s="1"/>
  <c r="B37" i="12"/>
  <c r="D37" i="12" s="1"/>
  <c r="D49" i="11"/>
  <c r="B18" i="12"/>
  <c r="D18" i="12" s="1"/>
  <c r="D58" i="11"/>
  <c r="D31" i="1"/>
  <c r="F31" i="1"/>
  <c r="C42" i="1"/>
  <c r="E31" i="1"/>
  <c r="D34" i="1"/>
  <c r="B31" i="1"/>
  <c r="C34" i="1"/>
  <c r="C31" i="1"/>
  <c r="B34" i="1"/>
  <c r="B13" i="14" s="1"/>
  <c r="E41" i="1"/>
  <c r="D42" i="1"/>
  <c r="D34" i="11"/>
  <c r="B17" i="2"/>
  <c r="C48" i="11"/>
  <c r="F48" i="11"/>
  <c r="D48" i="11"/>
  <c r="D32" i="1" s="1"/>
  <c r="B7" i="2"/>
  <c r="C58" i="11"/>
  <c r="F58" i="11"/>
  <c r="D27" i="11"/>
  <c r="B13" i="1"/>
  <c r="C59" i="11"/>
  <c r="C69" i="11"/>
  <c r="F49" i="11"/>
  <c r="B12" i="2"/>
  <c r="E49" i="11"/>
  <c r="F68" i="11"/>
  <c r="E59" i="11"/>
  <c r="D68" i="11"/>
  <c r="D32" i="11"/>
  <c r="B58" i="11"/>
  <c r="B69" i="11"/>
  <c r="B48" i="11"/>
  <c r="B68" i="11"/>
  <c r="C49" i="11"/>
  <c r="E48" i="11"/>
  <c r="D59" i="11"/>
  <c r="C68" i="11"/>
  <c r="E58" i="11"/>
  <c r="D69" i="11"/>
  <c r="E68" i="11"/>
  <c r="D33" i="11"/>
  <c r="B49" i="11"/>
  <c r="B59" i="11"/>
  <c r="E69" i="11"/>
  <c r="F69" i="11"/>
  <c r="F59" i="11"/>
  <c r="B66" i="11"/>
  <c r="B46" i="11"/>
  <c r="B56" i="11"/>
  <c r="E66" i="11"/>
  <c r="E56" i="11"/>
  <c r="E46" i="11"/>
  <c r="F46" i="11"/>
  <c r="D66" i="11"/>
  <c r="D56" i="11"/>
  <c r="D46" i="11"/>
  <c r="D30" i="11"/>
  <c r="F66" i="11"/>
  <c r="F56" i="11"/>
  <c r="C66" i="11"/>
  <c r="C56" i="11"/>
  <c r="C46" i="11"/>
  <c r="B18" i="2"/>
  <c r="D36" i="11"/>
  <c r="B24" i="1"/>
  <c r="D33" i="1" l="1"/>
  <c r="F30" i="1"/>
  <c r="B32" i="1"/>
  <c r="C47" i="1" s="1"/>
  <c r="B33" i="1"/>
  <c r="C48" i="1" s="1"/>
  <c r="F33" i="1"/>
  <c r="E30" i="1"/>
  <c r="C32" i="1"/>
  <c r="D47" i="1" s="1"/>
  <c r="F32" i="1"/>
  <c r="E32" i="1"/>
  <c r="C30" i="1"/>
  <c r="D43" i="1" s="1"/>
  <c r="E33" i="1"/>
  <c r="C33" i="1"/>
  <c r="D48" i="1" s="1"/>
  <c r="B30" i="1"/>
  <c r="C43" i="1" s="1"/>
  <c r="D30" i="1"/>
  <c r="E43" i="1" s="1"/>
  <c r="E42" i="1"/>
  <c r="F41" i="1"/>
  <c r="B15" i="2"/>
  <c r="B19" i="2" s="1"/>
  <c r="B21" i="2" s="1"/>
  <c r="C49" i="1"/>
  <c r="D49" i="1"/>
  <c r="C44" i="1" l="1"/>
  <c r="D45" i="1"/>
  <c r="D46" i="1" s="1"/>
  <c r="D44" i="1"/>
  <c r="C45" i="1"/>
  <c r="C46" i="1" s="1"/>
  <c r="F42" i="1"/>
  <c r="G41" i="1"/>
  <c r="F43" i="1"/>
  <c r="E44" i="1"/>
  <c r="E45" i="1"/>
  <c r="E46" i="1" s="1"/>
  <c r="E48" i="1"/>
  <c r="E47" i="1"/>
  <c r="E49" i="1"/>
  <c r="B20" i="2"/>
  <c r="C50" i="1" l="1"/>
  <c r="D50" i="1"/>
  <c r="B22" i="2"/>
  <c r="D38" i="11" s="1"/>
  <c r="B28" i="12"/>
  <c r="D28" i="12" s="1"/>
  <c r="F45" i="1"/>
  <c r="F46" i="1" s="1"/>
  <c r="F44" i="1"/>
  <c r="G43" i="1"/>
  <c r="G42" i="1"/>
  <c r="E50" i="1"/>
  <c r="F47" i="1"/>
  <c r="F49" i="1"/>
  <c r="F48" i="1"/>
  <c r="B71" i="11" l="1"/>
  <c r="B35" i="1" s="1"/>
  <c r="B54" i="1" s="1"/>
  <c r="B27" i="13"/>
  <c r="D27" i="13" s="1"/>
  <c r="B28" i="13"/>
  <c r="D28" i="13" s="1"/>
  <c r="B52" i="11"/>
  <c r="B62" i="11"/>
  <c r="B25" i="12"/>
  <c r="D25" i="12" s="1"/>
  <c r="B23" i="12"/>
  <c r="D23" i="12" s="1"/>
  <c r="B22" i="12"/>
  <c r="D22" i="12" s="1"/>
  <c r="G45" i="1"/>
  <c r="G46" i="1" s="1"/>
  <c r="G44" i="1"/>
  <c r="B72" i="11"/>
  <c r="B36" i="1" s="1"/>
  <c r="F50" i="1"/>
  <c r="G48" i="1"/>
  <c r="G49" i="1"/>
  <c r="G47" i="1"/>
  <c r="B53" i="1" l="1"/>
  <c r="F67" i="1"/>
  <c r="E67" i="1"/>
  <c r="D67" i="1"/>
  <c r="B67" i="1"/>
  <c r="C67" i="1"/>
  <c r="G50" i="1"/>
  <c r="A68" i="1" l="1"/>
  <c r="F81" i="1" a="1"/>
  <c r="F81" i="1" s="1"/>
  <c r="E78" i="1" a="1"/>
  <c r="E78" i="1" s="1"/>
  <c r="F78" i="1" a="1"/>
  <c r="F78" i="1" s="1"/>
  <c r="E81" i="1" a="1"/>
  <c r="E81" i="1" s="1"/>
  <c r="D78" i="1" a="1"/>
  <c r="D78" i="1" s="1"/>
  <c r="D81" i="1" a="1"/>
  <c r="D81" i="1" s="1"/>
  <c r="C78" i="1" a="1"/>
  <c r="C78" i="1" s="1"/>
  <c r="C81" i="1" a="1"/>
  <c r="C81" i="1" s="1"/>
  <c r="B78" i="1" a="1"/>
  <c r="B78" i="1" s="1"/>
  <c r="B81" i="1" a="1"/>
  <c r="B81" i="1" s="1"/>
  <c r="B79" i="1" a="1"/>
  <c r="B79" i="1" s="1"/>
  <c r="F80" i="1" a="1"/>
  <c r="F80" i="1" s="1"/>
  <c r="C79" i="1" a="1"/>
  <c r="C79" i="1" s="1"/>
  <c r="E80" i="1" a="1"/>
  <c r="E80" i="1" s="1"/>
  <c r="D80" i="1" a="1"/>
  <c r="D80" i="1" s="1"/>
  <c r="E82" i="1" a="1"/>
  <c r="E82" i="1" s="1"/>
  <c r="B82" i="1" a="1"/>
  <c r="B82" i="1" s="1"/>
  <c r="C80" i="1" a="1"/>
  <c r="C80" i="1" s="1"/>
  <c r="B80" i="1" a="1"/>
  <c r="B80" i="1" s="1"/>
  <c r="D79" i="1" a="1"/>
  <c r="D79" i="1" s="1"/>
  <c r="F79" i="1" a="1"/>
  <c r="F79" i="1" s="1"/>
  <c r="D82" i="1" a="1"/>
  <c r="D82" i="1" s="1"/>
  <c r="F82" i="1" a="1"/>
  <c r="F82" i="1" s="1"/>
  <c r="E79" i="1" a="1"/>
  <c r="E79" i="1" s="1"/>
  <c r="C82" i="1" a="1"/>
  <c r="C82" i="1" s="1"/>
  <c r="C57" i="1"/>
  <c r="C58" i="1" s="1"/>
  <c r="F57" i="1"/>
  <c r="F58" i="1" s="1"/>
  <c r="A70" i="1"/>
  <c r="E57" i="1"/>
  <c r="E58" i="1" s="1"/>
  <c r="A71" i="1"/>
  <c r="A72" i="1"/>
  <c r="D57" i="1"/>
  <c r="D58" i="1" s="1"/>
  <c r="A69" i="1"/>
  <c r="G57" i="1"/>
  <c r="G58" i="1" s="1"/>
  <c r="B60" i="1"/>
  <c r="B61" i="1" s="1"/>
  <c r="B62" i="1" l="1"/>
  <c r="B9" i="1" s="1"/>
  <c r="F72" i="1" a="1"/>
  <c r="F72" i="1" s="1"/>
  <c r="B72" i="1" a="1"/>
  <c r="B72" i="1" s="1"/>
  <c r="C72" i="1" a="1"/>
  <c r="C72" i="1" s="1"/>
  <c r="D72" i="1" a="1"/>
  <c r="D72" i="1" s="1"/>
  <c r="E72" i="1" a="1"/>
  <c r="E72" i="1" s="1"/>
  <c r="D70" i="1" a="1"/>
  <c r="D70" i="1" s="1"/>
  <c r="E70" i="1" a="1"/>
  <c r="E70" i="1" s="1"/>
  <c r="F70" i="1" a="1"/>
  <c r="F70" i="1" s="1"/>
  <c r="B70" i="1" a="1"/>
  <c r="B70" i="1" s="1"/>
  <c r="C70" i="1" a="1"/>
  <c r="C70" i="1" s="1"/>
  <c r="B71" i="1" a="1"/>
  <c r="B71" i="1" s="1"/>
  <c r="C71" i="1" a="1"/>
  <c r="C71" i="1" s="1"/>
  <c r="D71" i="1" a="1"/>
  <c r="D71" i="1" s="1"/>
  <c r="E71" i="1" a="1"/>
  <c r="E71" i="1" s="1"/>
  <c r="F71" i="1" a="1"/>
  <c r="F71" i="1" s="1"/>
  <c r="F69" i="1" a="1"/>
  <c r="F69" i="1" s="1"/>
  <c r="B69" i="1" a="1"/>
  <c r="B69" i="1" s="1"/>
  <c r="D69" i="1" a="1"/>
  <c r="D69" i="1" s="1"/>
  <c r="C69" i="1" a="1"/>
  <c r="C69" i="1" s="1"/>
  <c r="E69" i="1" a="1"/>
  <c r="E69" i="1" s="1"/>
  <c r="B68" i="1" a="1"/>
  <c r="B68" i="1" s="1"/>
  <c r="C68" i="1" a="1"/>
  <c r="C68" i="1" s="1"/>
  <c r="D68" i="1" a="1"/>
  <c r="D68" i="1" s="1"/>
  <c r="E68" i="1" a="1"/>
  <c r="E68" i="1" s="1"/>
  <c r="F68" i="1" a="1"/>
  <c r="F68" i="1" s="1"/>
  <c r="B8" i="1"/>
  <c r="B10" i="1" l="1"/>
  <c r="B12" i="1" l="1"/>
  <c r="B14" i="1" s="1"/>
  <c r="B33" i="12" l="1"/>
  <c r="D33" i="12" s="1"/>
  <c r="B35" i="12"/>
  <c r="D35" i="12" s="1"/>
  <c r="B16" i="1"/>
  <c r="B4" i="12" s="1" a="1"/>
  <c r="B4" i="12" s="1"/>
  <c r="D4" i="12" s="1"/>
  <c r="A2" i="12" s="1"/>
  <c r="B21" i="13" s="1"/>
  <c r="D21" i="13" s="1"/>
  <c r="B34" i="12"/>
  <c r="D34" i="12" s="1"/>
  <c r="F2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86EF6-423E-414C-AFC9-16404FA7E054}" keepAlive="1" name="Query - 10YTreasury" description="Connection to the '10YTreasury' query in the workbook." type="5" refreshedVersion="8" saveData="1">
    <dbPr connection="Provider=Microsoft.Mashup.OleDb.1;Data Source=$Workbook$;Location=10YTreasury;Extended Properties=&quot;&quot;" command="SELECT * FROM [10YTreasury]"/>
  </connection>
  <connection id="2" xr16:uid="{1B47DF7F-EB64-4C8B-9C4A-BA84A0478722}" keepAlive="1" name="Query - Corporate Tax Rate" description="Connection to the 'Corporate Tax Rate' query in the workbook." type="5" refreshedVersion="8" saveData="1">
    <dbPr connection="Provider=Microsoft.Mashup.OleDb.1;Data Source=$Workbook$;Location=&quot;Corporate Tax Rate&quot;;Extended Properties=&quot;&quot;" command="SELECT * FROM [Corporate Tax Rate]"/>
  </connection>
  <connection id="3" xr16:uid="{D53748A3-853C-47DE-AB26-182B116EF08D}" keepAlive="1" name="Query - Cost of Debt" description="Connection to the 'Cost of Debt' query in the workbook." type="5" refreshedVersion="8" saveData="1">
    <dbPr connection="Provider=Microsoft.Mashup.OleDb.1;Data Source=$Workbook$;Location=&quot;Cost of Debt&quot;;Extended Properties=&quot;&quot;" command="SELECT * FROM [Cost of Debt]"/>
  </connection>
  <connection id="4" xr16:uid="{EB06551D-8460-4178-8350-A558C0C0E0D4}" keepAlive="1" name="Query - EDGAR_BalanceSheet" description="Connection to the 'EDGAR_BalanceSheet' query in the workbook." type="5" refreshedVersion="8" saveData="1">
    <dbPr connection="Provider=Microsoft.Mashup.OleDb.1;Data Source=$Workbook$;Location=EDGAR_BalanceSheet;Extended Properties=&quot;&quot;" command="SELECT * FROM [EDGAR_BalanceSheet]"/>
  </connection>
  <connection id="5" xr16:uid="{DC2437FA-849D-4558-8A22-A9205116C251}" keepAlive="1" name="Query - EDGAR_IncomeStatement" description="Connection to the 'EDGAR_IncomeStatement' query in the workbook." type="5" refreshedVersion="8" saveData="1">
    <dbPr connection="Provider=Microsoft.Mashup.OleDb.1;Data Source=$Workbook$;Location=EDGAR_IncomeStatement;Extended Properties=&quot;&quot;" command="SELECT * FROM [EDGAR_IncomeStatement]"/>
  </connection>
  <connection id="6" xr16:uid="{D15CEBBE-7A00-4D81-82AE-800E612489A2}" keepAlive="1" name="Query - EDGAR_SharesOutstanding" description="Connection to the 'EDGAR_SharesOutstanding' query in the workbook." type="5" refreshedVersion="8" saveData="1">
    <dbPr connection="Provider=Microsoft.Mashup.OleDb.1;Data Source=$Workbook$;Location=EDGAR_SharesOutstanding;Extended Properties=&quot;&quot;" command="SELECT * FROM [EDGAR_SharesOutstanding]"/>
  </connection>
  <connection id="7" xr16:uid="{C5D8E79B-665D-4D7D-814D-690418AF8CFB}" keepAlive="1" name="Query - EDGAR_StatementOfCashFlows" description="Connection to the 'EDGAR_StatementOfCashFlows' query in the workbook." type="5" refreshedVersion="8" saveData="1">
    <dbPr connection="Provider=Microsoft.Mashup.OleDb.1;Data Source=$Workbook$;Location=EDGAR_StatementOfCashFlows;Extended Properties=&quot;&quot;" command="SELECT * FROM [EDGAR_StatementOfCashFlows]"/>
  </connection>
  <connection id="8" xr16:uid="{945EBA6B-E638-41BB-9256-ABD69619E5CD}" keepAlive="1" name="Query - fxYahooQuoteSummary" description="Connection to the 'fxYahooQuoteSummary' query in the workbook." type="5" refreshedVersion="0">
    <dbPr connection="Provider=Microsoft.Mashup.OleDb.1;Data Source=$Workbook$;Location=fxYahooQuoteSummary;Extended Properties=&quot;&quot;" command="SELECT * FROM [fxYahooQuoteSummary]"/>
  </connection>
  <connection id="9" xr16:uid="{F338F5AA-01BA-4873-9AD2-DDDFC6D4883E}" keepAlive="1" name="Query - StockInformation" description="Connection to the 'StockInformation' query in the workbook." type="5" refreshedVersion="8" saveData="1">
    <dbPr connection="Provider=Microsoft.Mashup.OleDb.1;Data Source=$Workbook$;Location=StockInformation;Extended Properties=&quot;&quot;" command="SELECT * FROM [StockInforma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<sst xmlns="http://schemas.openxmlformats.org/spreadsheetml/2006/main" count="735" uniqueCount="528">
  <si>
    <t>Case (1=Bear, 2=Base, 3=Bull)</t>
  </si>
  <si>
    <t>Selected Case</t>
  </si>
  <si>
    <t>Current Stock Price ($)</t>
  </si>
  <si>
    <t>Assumption</t>
  </si>
  <si>
    <t>FY1</t>
  </si>
  <si>
    <t>FY2</t>
  </si>
  <si>
    <t>FY3</t>
  </si>
  <si>
    <t>FY4</t>
  </si>
  <si>
    <t>FY5</t>
  </si>
  <si>
    <t>Revenue Growth (%)</t>
  </si>
  <si>
    <t>EBIT Margin (%)</t>
  </si>
  <si>
    <t>Tax Rate (%)</t>
  </si>
  <si>
    <t>D&amp;A (% of Revenue)</t>
  </si>
  <si>
    <t>CapEx (% of Revenue)</t>
  </si>
  <si>
    <t>Terminal Growth Rate</t>
  </si>
  <si>
    <t>WACC</t>
  </si>
  <si>
    <t>FY1E</t>
  </si>
  <si>
    <t>FY2E</t>
  </si>
  <si>
    <t>FY3E</t>
  </si>
  <si>
    <t>FY4E</t>
  </si>
  <si>
    <t>FY5E</t>
  </si>
  <si>
    <t>Revenue</t>
  </si>
  <si>
    <t xml:space="preserve">  % growth</t>
  </si>
  <si>
    <t>EBIT</t>
  </si>
  <si>
    <t xml:space="preserve">  % margin</t>
  </si>
  <si>
    <t>(-) Taxes</t>
  </si>
  <si>
    <t>NOPAT</t>
  </si>
  <si>
    <t>(+) D&amp;A</t>
  </si>
  <si>
    <t>(-) CapEx</t>
  </si>
  <si>
    <t>Unlevered Free Cash Flow</t>
  </si>
  <si>
    <t>DISCOUNTING &amp; TERMINAL VALUE</t>
  </si>
  <si>
    <t>WACC (from selected case)</t>
  </si>
  <si>
    <t>Terminal Growth (from selected case)</t>
  </si>
  <si>
    <t>Discount Period (mid-year)</t>
  </si>
  <si>
    <t>Discount Factor</t>
  </si>
  <si>
    <t>PV of Unlevered FCF</t>
  </si>
  <si>
    <t>Terminal Value (Gordon Growth)</t>
  </si>
  <si>
    <t>PV of Terminal Value</t>
  </si>
  <si>
    <t>VALUATION SUMMARY</t>
  </si>
  <si>
    <t>Implied Share Price</t>
  </si>
  <si>
    <t>Current Share Price</t>
  </si>
  <si>
    <t>Implied Upside / (Downside)</t>
  </si>
  <si>
    <t>WACC Calculation</t>
  </si>
  <si>
    <t>Equity Risk Premium</t>
  </si>
  <si>
    <t>Cost of Equity</t>
  </si>
  <si>
    <t>COST OF DEBT</t>
  </si>
  <si>
    <t>Pre-Tax Cost of Debt</t>
  </si>
  <si>
    <t>Tax Rate</t>
  </si>
  <si>
    <t>After-Tax Cost of Debt</t>
  </si>
  <si>
    <t>Equity Weight</t>
  </si>
  <si>
    <t>Debt Weight</t>
  </si>
  <si>
    <t>Yield Prev Close</t>
  </si>
  <si>
    <t>Value</t>
  </si>
  <si>
    <t>Date</t>
  </si>
  <si>
    <t>Ticker</t>
  </si>
  <si>
    <t>Metric</t>
  </si>
  <si>
    <t>Previous Close</t>
  </si>
  <si>
    <t>Open</t>
  </si>
  <si>
    <t>Bid</t>
  </si>
  <si>
    <t>Ask</t>
  </si>
  <si>
    <t>Day's Range</t>
  </si>
  <si>
    <t>52 Week Range</t>
  </si>
  <si>
    <t>Volume</t>
  </si>
  <si>
    <t>Avg. Volume</t>
  </si>
  <si>
    <t>Beta (5Y Monthly)</t>
  </si>
  <si>
    <t>Earnings Date</t>
  </si>
  <si>
    <t>Forward Dividend &amp; Yield</t>
  </si>
  <si>
    <t>Ex-Dividend Date</t>
  </si>
  <si>
    <t>1y Target Est</t>
  </si>
  <si>
    <t>Related</t>
  </si>
  <si>
    <t>Last</t>
  </si>
  <si>
    <t>Previous</t>
  </si>
  <si>
    <t>Reference</t>
  </si>
  <si>
    <t>Corporate Tax Rate</t>
  </si>
  <si>
    <t>Dec 2026</t>
  </si>
  <si>
    <t>Personal Income Tax Rate</t>
  </si>
  <si>
    <t>Sales Tax Rate</t>
  </si>
  <si>
    <t>Social Security Rate</t>
  </si>
  <si>
    <t>Social Security Rate For Companies</t>
  </si>
  <si>
    <t>Social Security Rate For Employees</t>
  </si>
  <si>
    <t>Withholding Tax Rate</t>
  </si>
  <si>
    <t>Dec 2025</t>
  </si>
  <si>
    <t>Company</t>
  </si>
  <si>
    <t>CIK</t>
  </si>
  <si>
    <t>Form</t>
  </si>
  <si>
    <t>FY</t>
  </si>
  <si>
    <t>FP</t>
  </si>
  <si>
    <t>As-of</t>
  </si>
  <si>
    <t>Filed</t>
  </si>
  <si>
    <t>Shares Outstanding</t>
  </si>
  <si>
    <t>Accession</t>
  </si>
  <si>
    <t>Filing URL</t>
  </si>
  <si>
    <t>10-K</t>
  </si>
  <si>
    <t>Line Item</t>
  </si>
  <si>
    <t>Value (USD)</t>
  </si>
  <si>
    <t>Period End</t>
  </si>
  <si>
    <t>Cash &amp; Equivalents</t>
  </si>
  <si>
    <t>Short-Term Investments</t>
  </si>
  <si>
    <t>Accounts Receivable, Net</t>
  </si>
  <si>
    <t>Inventory</t>
  </si>
  <si>
    <t>Other Current Assets</t>
  </si>
  <si>
    <t>Total Current Assets</t>
  </si>
  <si>
    <t>PP&amp;E, Net</t>
  </si>
  <si>
    <t>Goodwill</t>
  </si>
  <si>
    <t>Intangible Assets, Net</t>
  </si>
  <si>
    <t>Other Non-Current Assets</t>
  </si>
  <si>
    <t>Total Assets</t>
  </si>
  <si>
    <t>Accounts Payable</t>
  </si>
  <si>
    <t>Accrued Liabilities</t>
  </si>
  <si>
    <t>Short-Term Debt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</si>
  <si>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</si>
  <si>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</si>
  <si>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</si>
  <si>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</si>
  <si>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</si>
  <si>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Liabilities</t>
  </si>
  <si>
    <t>Common Stock</t>
  </si>
  <si>
    <t>Additional Paid-In Capital</t>
  </si>
  <si>
    <t>Retained Earnings</t>
  </si>
  <si>
    <t>Treasury Stock</t>
  </si>
  <si>
    <t>Accumulated OCI</t>
  </si>
  <si>
    <t>Total Stockholders' Equity</t>
  </si>
  <si>
    <t>Total Liabilities &amp; Equity</t>
  </si>
  <si>
    <t>Balance Sheet</t>
  </si>
  <si>
    <t>Total Revenue</t>
  </si>
  <si>
    <t>Cost of Revenue</t>
  </si>
  <si>
    <t>Cost of Goods &amp; Services Sold</t>
  </si>
  <si>
    <t>Gross Profit</t>
  </si>
  <si>
    <t>Research &amp; Development Expense</t>
  </si>
  <si>
    <t>Selling, General &amp; Admin Expense</t>
  </si>
  <si>
    <t>Depreciation, Depletion &amp; Amortization</t>
  </si>
  <si>
    <t>Total Operating Expenses</t>
  </si>
  <si>
    <t>Operating Income (Loss)</t>
  </si>
  <si>
    <t>Interest Expense</t>
  </si>
  <si>
    <t>Other Non-Operating Income (Expense)</t>
  </si>
  <si>
    <t>Income Before Tax</t>
  </si>
  <si>
    <t>Income Tax Expense (Benefit)</t>
  </si>
  <si>
    <t>Net Income</t>
  </si>
  <si>
    <t>Income Statement</t>
  </si>
  <si>
    <t>Stock-Based Compensation</t>
  </si>
  <si>
    <t>Deferred Income Tax Expense</t>
  </si>
  <si>
    <t>Cash from Operating Activities</t>
  </si>
  <si>
    <t>Capital Expenditures</t>
  </si>
  <si>
    <t>Acquisitions, Net of Cash</t>
  </si>
  <si>
    <t>Proceeds from Sale of PP&amp;E</t>
  </si>
  <si>
    <t>Purchase of Investments</t>
  </si>
  <si>
    <t>Proceeds from Sale of Investments</t>
  </si>
  <si>
    <t>Cash from Investing Activities</t>
  </si>
  <si>
    <t>Debt Issuance</t>
  </si>
  <si>
    <t>Debt Repayment</t>
  </si>
  <si>
    <t>Common Stock Repurchase</t>
  </si>
  <si>
    <t>Dividends Paid</t>
  </si>
  <si>
    <t>Cash from Financing Activities</t>
  </si>
  <si>
    <t>Net Change in Cash</t>
  </si>
  <si>
    <t>Interest Paid</t>
  </si>
  <si>
    <t>Income Taxes Paid</t>
  </si>
  <si>
    <t>Debt End</t>
  </si>
  <si>
    <t>Debt Beginning</t>
  </si>
  <si>
    <t>Debt Average</t>
  </si>
  <si>
    <t>Effective Tax Rate</t>
  </si>
  <si>
    <t>Dynamic DCF Model Inputs &amp; Controls</t>
  </si>
  <si>
    <t>Valuation Date</t>
  </si>
  <si>
    <t>Manual / Override Inputs</t>
  </si>
  <si>
    <t>Current Share Price ($)</t>
  </si>
  <si>
    <t>Used when StockInformation Previous Close is blank or override is TRUE.</t>
  </si>
  <si>
    <t>Fallback to latest diluted weighted average shares or EDGAR shares outstanding.</t>
  </si>
  <si>
    <t>Fallback if revenue query is blank; current AMD FY2025 revenue inferred from SEC filing.</t>
  </si>
  <si>
    <t>Fallback if Operating Income query is blank.</t>
  </si>
  <si>
    <t>D&amp;A (% Revenue)</t>
  </si>
  <si>
    <t>Fallback because current query often returns stale D&amp;A. Edit after adding a clean cash flow query.</t>
  </si>
  <si>
    <t>Fallback if CapEx query is blank or stale.</t>
  </si>
  <si>
    <t>Fallback if balance sheet cash query is blank.</t>
  </si>
  <si>
    <t>Override is TRUE because the current query appears to miss current debt.</t>
  </si>
  <si>
    <t>Normalized Cash Tax Rate</t>
  </si>
  <si>
    <t>Fallback if actual tax is negative/unusual.</t>
  </si>
  <si>
    <t>Beta</t>
  </si>
  <si>
    <t>Risk-Free Rate</t>
  </si>
  <si>
    <t>Fallback if 10Y Treasury query is blank.</t>
  </si>
  <si>
    <t>Manual market assumption.</t>
  </si>
  <si>
    <t>Fallback if debt cost query is negative or implausibly high.</t>
  </si>
  <si>
    <t>NWC (% of Change in Revenue)</t>
  </si>
  <si>
    <t>Manual operating working capital assumption.</t>
  </si>
  <si>
    <t>Terminal Growth</t>
  </si>
  <si>
    <t>Manual long-term nominal growth assumption.</t>
  </si>
  <si>
    <t>Controlled Model Outputs</t>
  </si>
  <si>
    <t>StockInformation Previous Close, else manual B7</t>
  </si>
  <si>
    <t>Diluted weighted average shares, then EDGAR shares outstanding, then manual B8</t>
  </si>
  <si>
    <t>Total Revenue, or Gross Profit + Cost of Revenue, else manual B9</t>
  </si>
  <si>
    <t>Operating Income (Loss), else manual B10</t>
  </si>
  <si>
    <t>Base EBIT Margin</t>
  </si>
  <si>
    <t>Operating income / revenue</t>
  </si>
  <si>
    <t>Actual tax/PBT if normal, else manual B15</t>
  </si>
  <si>
    <t>Current-year D&amp;A if fresh; otherwise manual B11</t>
  </si>
  <si>
    <t>CapEx (% Revenue)</t>
  </si>
  <si>
    <t>Current-year CapEx / revenue, else manual B12 / revenue</t>
  </si>
  <si>
    <t>Balance sheet cash, else manual B13</t>
  </si>
  <si>
    <t>Short-term + long-term debt, or manual B14</t>
  </si>
  <si>
    <t>Gross debt - cash</t>
  </si>
  <si>
    <t>Manual operating assumption</t>
  </si>
  <si>
    <t>Manual long-term assumption</t>
  </si>
  <si>
    <t>Base Fiscal Year</t>
  </si>
  <si>
    <t>Max FY across query tables</t>
  </si>
  <si>
    <t>Scenario Assumptions</t>
  </si>
  <si>
    <t>BEAR CASE</t>
  </si>
  <si>
    <t>Change in NWC (% of Change in Revenue)</t>
  </si>
  <si>
    <t>BASE CASE</t>
  </si>
  <si>
    <t>BULL CASE</t>
  </si>
  <si>
    <t>10Y Treasury query, else Model Inputs B17</t>
  </si>
  <si>
    <t>Manual ERP</t>
  </si>
  <si>
    <t>StockInformation beta, else Model Inputs B16</t>
  </si>
  <si>
    <t>Rf + beta x ERP</t>
  </si>
  <si>
    <t>Positive query result when plausible; else manual B19</t>
  </si>
  <si>
    <t>Normalized tax rate</t>
  </si>
  <si>
    <t>Pre-tax cost x (1-tax rate)</t>
  </si>
  <si>
    <t>Market Cap</t>
  </si>
  <si>
    <t>Gross Debt</t>
  </si>
  <si>
    <t>Net Debt / (Cash)</t>
  </si>
  <si>
    <t>Capital Base for Weights</t>
  </si>
  <si>
    <t>Dynamic DCF Valuation Model</t>
  </si>
  <si>
    <t>Base Revenue Source</t>
  </si>
  <si>
    <t>SELECTED CASE ASSUMPTIONS</t>
  </si>
  <si>
    <t>LTM / Base FY</t>
  </si>
  <si>
    <t>(-) Change in NWC</t>
  </si>
  <si>
    <t>Terminal FCF (FY5 x (1+g))</t>
  </si>
  <si>
    <t>SENSITIVITY: IMPLIED SHARE PRICE - WACC vs TERMINAL GROWTH</t>
  </si>
  <si>
    <t>WACC down / Terminal g across</t>
  </si>
  <si>
    <t>SENSITIVITY: IMPLIED SHARE PRICE - REVENUE GROWTH SHIFT vs EBIT MARGIN SHIFT</t>
  </si>
  <si>
    <t>Growth shift down / Margin shift across</t>
  </si>
  <si>
    <t>EBIT Margin</t>
  </si>
  <si>
    <t>EPS - Basic</t>
  </si>
  <si>
    <t>EPS - Diluted</t>
  </si>
  <si>
    <t>Weighted Avg Shares - Basic</t>
  </si>
  <si>
    <t>Weighted Avg Shares - Diluted</t>
  </si>
  <si>
    <t>Change in Accounts Receivable</t>
  </si>
  <si>
    <t>Change in Inventory</t>
  </si>
  <si>
    <t>Change in Accounts Payable</t>
  </si>
  <si>
    <t>Change in Other Working Capital</t>
  </si>
  <si>
    <t>Cash &amp; Equivalents - Beginning</t>
  </si>
  <si>
    <t>Statement of Cash Flows</t>
  </si>
  <si>
    <t>Yield</t>
  </si>
  <si>
    <t>Manual beta fallback if market-data beta is unavailable.</t>
  </si>
  <si>
    <t>Terminal Value Discount Timing</t>
  </si>
  <si>
    <t>Manual</t>
  </si>
  <si>
    <t>Use Mid-Year or Year-End; terminal value and sensitivities follow this setting.</t>
  </si>
  <si>
    <t>NWC Forecast Method</t>
  </si>
  <si>
    <t>Manual % of Revenue Change</t>
  </si>
  <si>
    <t>Working Capital sheet provides actual operating NWC cross-check.</t>
  </si>
  <si>
    <t>EDGAR shares outstanding, else diluted shares fallback</t>
  </si>
  <si>
    <t>Price x current shares outstanding; falls back to diluted shares if needed</t>
  </si>
  <si>
    <t>Model Checks</t>
  </si>
  <si>
    <t>Check</t>
  </si>
  <si>
    <t>Target / Tolerance</t>
  </si>
  <si>
    <t>Status</t>
  </si>
  <si>
    <t>Notes</t>
  </si>
  <si>
    <t>Workbook visible errors</t>
  </si>
  <si>
    <t>WACC &gt; terminal growth</t>
  </si>
  <si>
    <t>&gt; 0</t>
  </si>
  <si>
    <t>Terminal growth must stay below WACC.</t>
  </si>
  <si>
    <t>Base FY</t>
  </si>
  <si>
    <t>Balance sheet balances</t>
  </si>
  <si>
    <t>+/- $1,000</t>
  </si>
  <si>
    <t>Assets should equal liabilities plus equity.</t>
  </si>
  <si>
    <t>Cash bridge ties</t>
  </si>
  <si>
    <t>Ending cash should equal beginning cash plus net change.</t>
  </si>
  <si>
    <t>IS/CF net income ties</t>
  </si>
  <si>
    <t>DCF center sensitivity ties</t>
  </si>
  <si>
    <t>Growth/margin sensitivity ties</t>
  </si>
  <si>
    <t>Diluted shares available</t>
  </si>
  <si>
    <t>Terminal timing valid</t>
  </si>
  <si>
    <t>Mid-Year / Year-End</t>
  </si>
  <si>
    <t>Terminal value discount convention must be explicit.</t>
  </si>
  <si>
    <t>Manual operating overrides active</t>
  </si>
  <si>
    <t>Base FY all statements match</t>
  </si>
  <si>
    <t>Source Audit &amp; Data Quality</t>
  </si>
  <si>
    <t>Source</t>
  </si>
  <si>
    <t>Key Field</t>
  </si>
  <si>
    <t>Observed</t>
  </si>
  <si>
    <t>Expected / Fallback</t>
  </si>
  <si>
    <t>Latest annual income statement year.</t>
  </si>
  <si>
    <t>Latest annual balance sheet year.</t>
  </si>
  <si>
    <t>Cash Flow</t>
  </si>
  <si>
    <t>Latest annual cash flow year.</t>
  </si>
  <si>
    <t>Shares</t>
  </si>
  <si>
    <t>Current shares for market cap.</t>
  </si>
  <si>
    <t>Cost of Debt</t>
  </si>
  <si>
    <t>FY / Rate</t>
  </si>
  <si>
    <t>Base FY with nonblank rate</t>
  </si>
  <si>
    <t>WARN means WACC uses manual B19 fallback.</t>
  </si>
  <si>
    <t>Stock Price</t>
  </si>
  <si>
    <t>Yahoo chart JSON, not HTML scrape.</t>
  </si>
  <si>
    <t>Market beta</t>
  </si>
  <si>
    <t>Manual beta B16</t>
  </si>
  <si>
    <t>WARN is acceptable when using manual beta fallback.</t>
  </si>
  <si>
    <t>10Y Treasury</t>
  </si>
  <si>
    <t>Risk-free rate source.</t>
  </si>
  <si>
    <t>Actual tax / PBT</t>
  </si>
  <si>
    <t>0%-40%</t>
  </si>
  <si>
    <t>Normalized tax rate control.</t>
  </si>
  <si>
    <t>Terminal Value</t>
  </si>
  <si>
    <t>Discount timing</t>
  </si>
  <si>
    <t>Controls headline and sensitivity terminal discounting.</t>
  </si>
  <si>
    <t>Working Capital Cross-Check</t>
  </si>
  <si>
    <t>Item</t>
  </si>
  <si>
    <t>Accounts Receivable</t>
  </si>
  <si>
    <t>Operating NWC</t>
  </si>
  <si>
    <t>Operating NWC % Revenue</t>
  </si>
  <si>
    <t>DCF NWC Assumption</t>
  </si>
  <si>
    <t>Note</t>
  </si>
  <si>
    <t>This is a cross-check only. The DCF still uses the explicit NWC % of revenue-change assumption unless you choose to replace it.</t>
  </si>
  <si>
    <t>Manual Query Setup &amp; Overrides</t>
  </si>
  <si>
    <t>Area</t>
  </si>
  <si>
    <t>When to use</t>
  </si>
  <si>
    <t>Instruction</t>
  </si>
  <si>
    <t>Refresh</t>
  </si>
  <si>
    <t>Every model update</t>
  </si>
  <si>
    <t>Use Data &gt; Refresh All, then confirm Model Checks shows PASS or only expected WARN items.</t>
  </si>
  <si>
    <t>Stock price</t>
  </si>
  <si>
    <t>If Source Audit stock price FAILs</t>
  </si>
  <si>
    <t>Enter price in Model Inputs B7 and set C7 TRUE until the query refreshes cleanly.</t>
  </si>
  <si>
    <t>If Source Audit beta WARNs</t>
  </si>
  <si>
    <t>Review/update Model Inputs B16. This is expected when Yahoo chart JSON does not provide beta.</t>
  </si>
  <si>
    <t>Cost of debt</t>
  </si>
  <si>
    <t>If Source Audit Cost of Debt WARNs</t>
  </si>
  <si>
    <t>Update Model Inputs B19 and leave C19 FALSE unless you intentionally override; WACC rejects stale query years.</t>
  </si>
  <si>
    <t>Terminal value</t>
  </si>
  <si>
    <t>To change discount convention</t>
  </si>
  <si>
    <t>Set Model Inputs B22 to Mid-Year or Year-End.</t>
  </si>
  <si>
    <t>NWC</t>
  </si>
  <si>
    <t>To override working capital behavior</t>
  </si>
  <si>
    <t>Update Model Inputs B20; use Working Capital sheet as a reasonableness check.</t>
  </si>
  <si>
    <t>Validation</t>
  </si>
  <si>
    <t>Before relying on valuation</t>
  </si>
  <si>
    <t>Check Model Checks, Source Audit, and DCF sensitivity center values.</t>
  </si>
  <si>
    <t>Historical / Base Actuals</t>
  </si>
  <si>
    <t>EDGAR_IncomeStatement</t>
  </si>
  <si>
    <t>Derived</t>
  </si>
  <si>
    <t>D&amp;A</t>
  </si>
  <si>
    <t>EDGAR_StatementOfCashFlows</t>
  </si>
  <si>
    <t>CapEx</t>
  </si>
  <si>
    <t>Cash</t>
  </si>
  <si>
    <t>EDGAR_BalanceSheet</t>
  </si>
  <si>
    <t>Derived from BS debt lines</t>
  </si>
  <si>
    <t>Diluted Shares</t>
  </si>
  <si>
    <t>No visible Excel error values in core ranges.</t>
  </si>
  <si>
    <t>Sum of PV of FCFs ($)</t>
  </si>
  <si>
    <t>(+) PV of Terminal Value ($)</t>
  </si>
  <si>
    <t>Enterprise Value ($)</t>
  </si>
  <si>
    <t>(-) Net Debt / (Cash) ($)</t>
  </si>
  <si>
    <t>Equity Value ($)</t>
  </si>
  <si>
    <t>Market Cap ($)</t>
  </si>
  <si>
    <t>Net Debt / (Cash) ($)</t>
  </si>
  <si>
    <t xml:space="preserve">Current Shares Outstanding </t>
  </si>
  <si>
    <t>CASH FLOW PROJECTIONS ($)</t>
  </si>
  <si>
    <t>($)</t>
  </si>
  <si>
    <t>COST OF EQUITY (CAP</t>
  </si>
  <si>
    <t>CAPITAL STRUCTURE ($)</t>
  </si>
  <si>
    <t>Base Revenue ($)</t>
  </si>
  <si>
    <t>Base EBIT / Operating Income ($)</t>
  </si>
  <si>
    <t>CapEx ($)</t>
  </si>
  <si>
    <t>Cash &amp; Equivalents ($)</t>
  </si>
  <si>
    <t>Gross Debt ($)</t>
  </si>
  <si>
    <t>Current Value ($)</t>
  </si>
  <si>
    <t>Diluted Shares Outstanding</t>
  </si>
  <si>
    <t>Current Shares Outstanding</t>
  </si>
  <si>
    <t>Market Cap (intraday)</t>
  </si>
  <si>
    <t>PE Ratio (TTM)</t>
  </si>
  <si>
    <t>EPS (TTM)</t>
  </si>
  <si>
    <t>Scenario selector valid</t>
  </si>
  <si>
    <t>1, 2, or 3</t>
  </si>
  <si>
    <t>DCF!B4 must select Bear, Base, or Bull.</t>
  </si>
  <si>
    <t>Selected case resolves</t>
  </si>
  <si>
    <t>Bear / Base / Bull</t>
  </si>
  <si>
    <t>Prevents invalid scenario from cascading through CHOOSE formulas.</t>
  </si>
  <si>
    <t>Current share price available</t>
  </si>
  <si>
    <t>Required for market cap and implied upside/downside.</t>
  </si>
  <si>
    <t>Required for implied value per share.</t>
  </si>
  <si>
    <t>Current shares available</t>
  </si>
  <si>
    <t>Required for market cap and WACC capital structure.</t>
  </si>
  <si>
    <t>Market cap recomputes</t>
  </si>
  <si>
    <t>Market cap must equal price x current shares.</t>
  </si>
  <si>
    <t>Base revenue available</t>
  </si>
  <si>
    <t>Revenue is the top-line projection driver.</t>
  </si>
  <si>
    <t>Revenue source status</t>
  </si>
  <si>
    <t>OK preferred</t>
  </si>
  <si>
    <t>Inferred revenue can be usable but should be reviewed.</t>
  </si>
  <si>
    <t>Base EBIT available</t>
  </si>
  <si>
    <t>Non-zero</t>
  </si>
  <si>
    <t>EBIT is required for NOPAT and free cash flow.</t>
  </si>
  <si>
    <t>Base EBIT status</t>
  </si>
  <si>
    <t>OK</t>
  </si>
  <si>
    <t>Missing EBIT must hard fail.</t>
  </si>
  <si>
    <t>EBIT margin sane</t>
  </si>
  <si>
    <t>0% to 75%</t>
  </si>
  <si>
    <t>Detects missing EBIT, stale revenue, or non-operating company mismatch.</t>
  </si>
  <si>
    <t>Tax rate sane</t>
  </si>
  <si>
    <t>0% to 40%</t>
  </si>
  <si>
    <t>Actual tax rates outside this range need normalization review.</t>
  </si>
  <si>
    <t>D&amp;A percent sane</t>
  </si>
  <si>
    <t>0% to 30%</t>
  </si>
  <si>
    <t>Guardrail for stale or missing D&amp;A.</t>
  </si>
  <si>
    <t>CapEx percent sane</t>
  </si>
  <si>
    <t>0% to 50%</t>
  </si>
  <si>
    <t>Guardrail for stale or missing CapEx.</t>
  </si>
  <si>
    <t>Cash available</t>
  </si>
  <si>
    <t>Required for net debt bridge.</t>
  </si>
  <si>
    <t>Debt available</t>
  </si>
  <si>
    <t>Required for net debt and WACC weights.</t>
  </si>
  <si>
    <t>Net debt numeric</t>
  </si>
  <si>
    <t>Number</t>
  </si>
  <si>
    <t>Equity value bridge requires numeric net debt/cash.</t>
  </si>
  <si>
    <t>WACC positive</t>
  </si>
  <si>
    <t>Discount rate must be positive and plausible.</t>
  </si>
  <si>
    <t>Terminal growth status</t>
  </si>
  <si>
    <t>Terminal growth guardrail from Model Inputs.</t>
  </si>
  <si>
    <t>Cost of debt source/fallback</t>
  </si>
  <si>
    <t>Current FY or valid manual fallback</t>
  </si>
  <si>
    <t>WARN means WACC uses manual debt-cost fallback.</t>
  </si>
  <si>
    <t>Cost of debt used sane</t>
  </si>
  <si>
    <t>WACC cannot rely on zero or implausible debt cost.</t>
  </si>
  <si>
    <t>Debt/equity weights tie</t>
  </si>
  <si>
    <t>Capital structure weights must sum to 100%.</t>
  </si>
  <si>
    <t>Net income should match between income statement and cash flow.</t>
  </si>
  <si>
    <t>All three financial statements should refresh to same fiscal year.</t>
  </si>
  <si>
    <t>WACC/g sensitivity center should equal headline price.</t>
  </si>
  <si>
    <t>Growth/margin sensitivity center should equal headline price.</t>
  </si>
  <si>
    <t>Implied share price positive</t>
  </si>
  <si>
    <t>Final output must be economically usable.</t>
  </si>
  <si>
    <t>Excludes ERP; manual overrides should be deliberate.</t>
  </si>
  <si>
    <t>Operating company applicability</t>
  </si>
  <si>
    <t>Operating EBIT available</t>
  </si>
  <si>
    <t>DCF is not durable for nonstandard financials without EBIT mapping.</t>
  </si>
  <si>
    <t>Source Audit aggregate</t>
  </si>
  <si>
    <t>PASS / WARN</t>
  </si>
  <si>
    <t>Mirrors source quality dashboard.</t>
  </si>
  <si>
    <t>StockInformation core fields</t>
  </si>
  <si>
    <t>Warn if quote fields needed for review are missing.</t>
  </si>
  <si>
    <t>Raw unit integrity</t>
  </si>
  <si>
    <t>No model formulas should scale raw values down to millions.</t>
  </si>
  <si>
    <t>Refresh Diagnostics</t>
  </si>
  <si>
    <t>Diagnostic</t>
  </si>
  <si>
    <t>Expected</t>
  </si>
  <si>
    <t>Formula / Source</t>
  </si>
  <si>
    <t>Last workbook calculation</t>
  </si>
  <si>
    <t>Timestamp</t>
  </si>
  <si>
    <t>Volatile timestamp for review after Refresh All.</t>
  </si>
  <si>
    <t>Nonblank</t>
  </si>
  <si>
    <t>Ticker driving all queries.</t>
  </si>
  <si>
    <t>Model Checks summary</t>
  </si>
  <si>
    <t>Overall hardening status.</t>
  </si>
  <si>
    <t>Income statement rows</t>
  </si>
  <si>
    <t>&gt;= 10</t>
  </si>
  <si>
    <t>Detects empty/failed income-statement query.</t>
  </si>
  <si>
    <t>Balance sheet rows</t>
  </si>
  <si>
    <t>&gt;= 20</t>
  </si>
  <si>
    <t>Detects empty/failed balance-sheet query.</t>
  </si>
  <si>
    <t>Cash flow rows</t>
  </si>
  <si>
    <t>&gt;= 15</t>
  </si>
  <si>
    <t>Detects empty/failed cash-flow query.</t>
  </si>
  <si>
    <t>Stock info rows</t>
  </si>
  <si>
    <t>&gt;= 16</t>
  </si>
  <si>
    <t>Detects quote table shape change.</t>
  </si>
  <si>
    <t>Unavailable stock fields</t>
  </si>
  <si>
    <t>0 preferred</t>
  </si>
  <si>
    <t>Some fields can be naturally unavailable, but should be visible.</t>
  </si>
  <si>
    <t>Core output hard fails</t>
  </si>
  <si>
    <t>Missing or invalid controlled outputs must fail before relying on valuation.</t>
  </si>
  <si>
    <t>Controlled output review flags</t>
  </si>
  <si>
    <t>CHECK items should be normalized or manually confirmed.</t>
  </si>
  <si>
    <t>Year-End</t>
  </si>
  <si>
    <t>DCF Valuation Model</t>
  </si>
  <si>
    <t>Isaiah Moragne, MBA</t>
  </si>
  <si>
    <t>Equity Valuation via Discounted Cash Flow Analysis</t>
  </si>
  <si>
    <t>Contact</t>
  </si>
  <si>
    <t>Website:</t>
  </si>
  <si>
    <t>https://isaiahmba.com</t>
  </si>
  <si>
    <t>Email:</t>
  </si>
  <si>
    <t>isaiahmoragne12@gmail.com</t>
  </si>
  <si>
    <t>How to Use</t>
  </si>
  <si>
    <t>Go to the 'DCF' tab — this is the main output.</t>
  </si>
  <si>
    <t>Enter the ticker symbol (e.g. AAPL, MSFT) in the Ticker input cell.</t>
  </si>
  <si>
    <t>Refresh data: Data ribbon → Refresh All. This pulls the latest financials, treasury yield, and shares outstanding.</t>
  </si>
  <si>
    <t>Review assumptions on 'Model Inputs' and 'WACC' tabs — adjust growth rates, margins, or discount rate as needed.</t>
  </si>
  <si>
    <t>Check 'Model Checks' tab to confirm the model ties out before relying on outputs.</t>
  </si>
  <si>
    <t>The DCF tab shows the implied share price and upside vs. current market price.</t>
  </si>
  <si>
    <t>Workbook Tabs</t>
  </si>
  <si>
    <t>DCF</t>
  </si>
  <si>
    <t>Main valuation output and summary</t>
  </si>
  <si>
    <t>Model Inputs</t>
  </si>
  <si>
    <t>Forecast assumptions (growth, margins, capex, etc.)</t>
  </si>
  <si>
    <t>Weighted Average Cost of Capital build</t>
  </si>
  <si>
    <t>Working Capital</t>
  </si>
  <si>
    <t>NWC schedule</t>
  </si>
  <si>
    <t>3 Statements</t>
  </si>
  <si>
    <t>Historical Income Statement, Balance Sheet, Cash Flows (from SEC EDGAR)</t>
  </si>
  <si>
    <t>Historical Actuals</t>
  </si>
  <si>
    <t>Historical financials used to anchor projections</t>
  </si>
  <si>
    <t>Data Queries</t>
  </si>
  <si>
    <t>Live data pulls (treasury, stock info, tax rate, shares, cost of debt)</t>
  </si>
  <si>
    <t>Integrity checks and tie-outs</t>
  </si>
  <si>
    <t>Source Audit</t>
  </si>
  <si>
    <t>Citations and source references</t>
  </si>
  <si>
    <t>Query Setup</t>
  </si>
  <si>
    <t>Configuration for data queries</t>
  </si>
  <si>
    <t>Disclaimer</t>
  </si>
  <si>
    <t>This model is provided for educational and informational purposes only. It does not constitute investment advice, a recommendation, or a solicitation to buy or sell any security. Outputs depend on third-party data sources and user-supplied assumptions, both of which may contain errors. Always conduct your own due diligence and consult a licensed financial advisor before making investment decisions. The author assumes no liability for any losses or damages arising from use of this model.</t>
  </si>
  <si>
    <t>© 2026 Isaiah Moragne, MBA. All rights reserved.</t>
  </si>
  <si>
    <t>AAPL</t>
  </si>
  <si>
    <t>Apple Inc.</t>
  </si>
  <si>
    <t>0000320193</t>
  </si>
  <si>
    <t>0000320193-25-000079</t>
  </si>
  <si>
    <t>https://www.sec.gov/Archives/edgar/data/320193/000032019325000079/0000320193-25-000079-index.htm</t>
  </si>
  <si>
    <t>297.84</t>
  </si>
  <si>
    <t>296.9700012207031</t>
  </si>
  <si>
    <t>297.37 x 100</t>
  </si>
  <si>
    <t>301.98 x 400</t>
  </si>
  <si>
    <t>296.35 - 300.51</t>
  </si>
  <si>
    <t>193.46 - 303.2</t>
  </si>
  <si>
    <t>18050361</t>
  </si>
  <si>
    <t>43155065</t>
  </si>
  <si>
    <t>4380000000000</t>
  </si>
  <si>
    <t>1.07</t>
  </si>
  <si>
    <t>36.058111</t>
  </si>
  <si>
    <t>8.26</t>
  </si>
  <si>
    <t>Jul 30, 2026</t>
  </si>
  <si>
    <t>1.08 (0.36%)</t>
  </si>
  <si>
    <t>May 11, 2026</t>
  </si>
  <si>
    <t>308.07</t>
  </si>
  <si>
    <t>4.623%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</si>
</sst>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0.00"/>
    <numFmt numFmtId="166" formatCode="&quot;$&quot;#,##0;\(&quot;$&quot;#,##0\);\-"/>
    <numFmt numFmtId="167" formatCode="&quot;$&quot;#,##0.00"/>
    <numFmt numFmtId="168" formatCode="0.0%;\(0.0%\);\-"/>
    <numFmt numFmtId="169" formatCode="0.00%;\(0.00%\);\-"/>
    <numFmt numFmtId="170" formatCode="0.0"/>
    <numFmt numFmtId="171" formatCode="0.0000"/>
    <numFmt numFmtId="172" formatCode="&quot;$&quot;#,##0.00;\(&quot;$&quot;#,##0.00\);\-"/>
    <numFmt numFmtId="173" formatCode="\+0.0%;\-0.0%;\-"/>
    <numFmt numFmtId="174" formatCode="0.000"/>
    <numFmt numFmtId="175" formatCode="mm/dd/yyyy"/>
    <numFmt numFmtId="176" formatCode="_([$$-409]* #,##0.00_);_([$$-409]* \(#,##0.00\);_([$$-409]* &quot;-&quot;??_);_(@_)"/>
  </numFmts>
  <fonts count="26">
    <font>
      <sz val="12"/>
      <color theme="1"/>
      <name val="Garamond"/>
      <family val="2"/>
    </font>
    <font>
      <sz val="12"/>
      <color theme="1"/>
      <name val="Garamond"/>
      <family val="2"/>
    </font>
    <font>
      <b/>
      <sz val="15"/>
      <color theme="3"/>
      <name val="Garamond"/>
      <family val="2"/>
    </font>
    <font>
      <sz val="12"/>
      <color theme="1"/>
      <name val="Lato"/>
    </font>
    <font>
      <sz val="10"/>
      <color rgb="FF1F2A44"/>
      <name val="Lato"/>
    </font>
    <font>
      <b/>
      <sz val="10"/>
      <color rgb="FFA38A7E"/>
      <name val="Helvetica Neue"/>
    </font>
    <font>
      <sz val="10"/>
      <color rgb="FFA38A7E"/>
      <name val="Helvetica Neue"/>
    </font>
    <font>
      <u/>
      <sz val="12"/>
      <color theme="10"/>
      <name val="Garamond"/>
      <family val="2"/>
    </font>
    <font>
      <sz val="12"/>
      <color rgb="FF7D7D7D"/>
      <name val="Garamond"/>
      <family val="1"/>
    </font>
    <font>
      <i/>
      <sz val="12"/>
      <color rgb="FF7D7D7D"/>
      <name val="Garamond"/>
      <family val="1"/>
    </font>
    <font>
      <b/>
      <i/>
      <sz val="10"/>
      <color rgb="FF7D7D7D"/>
      <name val="Garamond"/>
      <family val="1"/>
    </font>
    <font>
      <b/>
      <i/>
      <sz val="9"/>
      <color rgb="FF7D7D7D"/>
      <name val="Garamond"/>
      <family val="1"/>
    </font>
    <font>
      <b/>
      <sz val="32"/>
      <color rgb="FF131313"/>
      <name val="Garamond"/>
      <family val="1"/>
    </font>
    <font>
      <b/>
      <sz val="16"/>
      <color rgb="FFA38A7E"/>
      <name val="Garamond"/>
      <family val="1"/>
    </font>
    <font>
      <b/>
      <sz val="13"/>
      <color rgb="FFA38A7E"/>
      <name val="Garamond"/>
      <family val="1"/>
    </font>
    <font>
      <i/>
      <sz val="10"/>
      <color rgb="FF7D7D7D"/>
      <name val="Garamond"/>
      <family val="1"/>
    </font>
    <font>
      <b/>
      <sz val="12"/>
      <color rgb="FF131313"/>
      <name val="Garamond"/>
      <family val="1"/>
    </font>
    <font>
      <u/>
      <sz val="12"/>
      <color rgb="FFA38A7E"/>
      <name val="Garamond"/>
      <family val="1"/>
    </font>
    <font>
      <sz val="12"/>
      <color rgb="FF7D7D7D"/>
      <name val="Georgia"/>
      <family val="1"/>
    </font>
    <font>
      <b/>
      <sz val="12"/>
      <color rgb="FF131313"/>
      <name val="Georgia"/>
      <family val="1"/>
    </font>
    <font>
      <sz val="10"/>
      <color rgb="FF7D7D7D"/>
      <name val="Helvetica Neue"/>
    </font>
    <font>
      <b/>
      <sz val="10"/>
      <color rgb="FF7D7D7D"/>
      <name val="Helvetica Neue"/>
    </font>
    <font>
      <b/>
      <sz val="11"/>
      <color rgb="FF7D7D7D"/>
      <name val="Georgia"/>
      <family val="1"/>
    </font>
    <font>
      <i/>
      <sz val="10"/>
      <color rgb="FF7D7D7D"/>
      <name val="Helvetica Neue"/>
    </font>
    <font>
      <b/>
      <i/>
      <sz val="10"/>
      <color rgb="FF7D7D7D"/>
      <name val="Helvetica Neue"/>
    </font>
    <font>
      <b/>
      <i/>
      <sz val="11"/>
      <color rgb="FF7D7D7D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E0D9C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38A7E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134">
    <xf numFmtId="0" fontId="0" fillId="0" borderId="0" xfId="0"/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7" xfId="0" applyFont="1" applyFill="1" applyBorder="1"/>
    <xf numFmtId="0" fontId="16" fillId="2" borderId="0" xfId="0" applyFont="1" applyFill="1"/>
    <xf numFmtId="0" fontId="16" fillId="2" borderId="0" xfId="0" applyFont="1" applyFill="1" applyAlignment="1">
      <alignment horizontal="right"/>
    </xf>
    <xf numFmtId="0" fontId="17" fillId="2" borderId="0" xfId="5" applyFont="1" applyFill="1"/>
    <xf numFmtId="0" fontId="5" fillId="2" borderId="0" xfId="0" applyFont="1" applyFill="1" applyAlignment="1">
      <alignment horizontal="center" vertical="center"/>
    </xf>
    <xf numFmtId="173" fontId="5" fillId="2" borderId="0" xfId="0" applyNumberFormat="1" applyFont="1" applyFill="1" applyAlignment="1">
      <alignment horizontal="center" vertical="center"/>
    </xf>
    <xf numFmtId="173" fontId="6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44" fontId="6" fillId="2" borderId="0" xfId="2" applyFont="1" applyFill="1" applyBorder="1" applyAlignment="1" applyProtection="1">
      <alignment vertical="center"/>
      <protection locked="0"/>
    </xf>
    <xf numFmtId="43" fontId="6" fillId="2" borderId="0" xfId="1" applyFont="1" applyFill="1" applyBorder="1" applyAlignment="1" applyProtection="1">
      <alignment vertical="center"/>
      <protection locked="0"/>
    </xf>
    <xf numFmtId="9" fontId="6" fillId="2" borderId="0" xfId="3" applyFont="1" applyFill="1" applyBorder="1" applyAlignment="1" applyProtection="1">
      <alignment vertical="center"/>
      <protection locked="0"/>
    </xf>
    <xf numFmtId="176" fontId="6" fillId="2" borderId="0" xfId="2" applyNumberFormat="1" applyFont="1" applyFill="1" applyBorder="1" applyAlignment="1" applyProtection="1">
      <alignment vertical="center"/>
      <protection locked="0"/>
    </xf>
    <xf numFmtId="10" fontId="6" fillId="2" borderId="0" xfId="0" applyNumberFormat="1" applyFont="1" applyFill="1" applyAlignment="1" applyProtection="1">
      <alignment horizontal="center" vertical="center"/>
      <protection locked="0"/>
    </xf>
    <xf numFmtId="166" fontId="6" fillId="2" borderId="0" xfId="2" applyNumberFormat="1" applyFont="1" applyFill="1" applyBorder="1" applyAlignment="1">
      <alignment vertical="center"/>
    </xf>
    <xf numFmtId="175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66" fontId="5" fillId="2" borderId="0" xfId="2" applyNumberFormat="1" applyFont="1" applyFill="1" applyBorder="1" applyAlignment="1">
      <alignment vertical="center"/>
    </xf>
    <xf numFmtId="175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65" fontId="6" fillId="2" borderId="0" xfId="2" applyNumberFormat="1" applyFont="1" applyFill="1" applyBorder="1" applyAlignment="1">
      <alignment vertical="center"/>
    </xf>
    <xf numFmtId="3" fontId="6" fillId="2" borderId="0" xfId="2" applyNumberFormat="1" applyFont="1" applyFill="1" applyBorder="1" applyAlignment="1">
      <alignment vertical="center"/>
    </xf>
    <xf numFmtId="9" fontId="3" fillId="2" borderId="0" xfId="3" applyFont="1" applyFill="1" applyBorder="1"/>
    <xf numFmtId="3" fontId="0" fillId="2" borderId="0" xfId="0" applyNumberFormat="1" applyFill="1"/>
    <xf numFmtId="0" fontId="6" fillId="2" borderId="0" xfId="0" applyFont="1" applyFill="1"/>
    <xf numFmtId="9" fontId="6" fillId="2" borderId="0" xfId="0" applyNumberFormat="1" applyFont="1" applyFill="1"/>
    <xf numFmtId="10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6" fontId="6" fillId="2" borderId="0" xfId="2" applyNumberFormat="1" applyFont="1" applyFill="1" applyBorder="1" applyAlignment="1">
      <alignment horizontal="center" vertical="center"/>
    </xf>
    <xf numFmtId="3" fontId="6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14" fontId="21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vertical="center" indent="1"/>
    </xf>
    <xf numFmtId="49" fontId="21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vertical="center" indent="1"/>
    </xf>
    <xf numFmtId="166" fontId="20" fillId="2" borderId="0" xfId="2" applyNumberFormat="1" applyFont="1" applyFill="1" applyBorder="1" applyAlignment="1">
      <alignment vertical="center"/>
    </xf>
    <xf numFmtId="166" fontId="21" fillId="2" borderId="0" xfId="2" applyNumberFormat="1" applyFont="1" applyFill="1" applyBorder="1" applyAlignment="1">
      <alignment vertical="center"/>
    </xf>
    <xf numFmtId="3" fontId="20" fillId="2" borderId="0" xfId="2" applyNumberFormat="1" applyFont="1" applyFill="1" applyBorder="1" applyAlignment="1">
      <alignment vertical="center"/>
    </xf>
    <xf numFmtId="167" fontId="21" fillId="2" borderId="0" xfId="2" applyNumberFormat="1" applyFont="1" applyFill="1" applyBorder="1" applyAlignment="1">
      <alignment vertical="center"/>
    </xf>
    <xf numFmtId="167" fontId="20" fillId="2" borderId="0" xfId="2" applyNumberFormat="1" applyFont="1" applyFill="1" applyBorder="1" applyAlignment="1">
      <alignment vertical="center"/>
    </xf>
    <xf numFmtId="168" fontId="21" fillId="2" borderId="0" xfId="0" applyNumberFormat="1" applyFont="1" applyFill="1" applyAlignment="1">
      <alignment vertical="center"/>
    </xf>
    <xf numFmtId="172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166" fontId="20" fillId="2" borderId="0" xfId="0" applyNumberFormat="1" applyFont="1" applyFill="1" applyAlignment="1">
      <alignment vertical="center"/>
    </xf>
    <xf numFmtId="1" fontId="20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169" fontId="20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vertical="center" indent="1"/>
    </xf>
    <xf numFmtId="168" fontId="20" fillId="2" borderId="0" xfId="0" applyNumberFormat="1" applyFont="1" applyFill="1" applyAlignment="1">
      <alignment vertical="center"/>
    </xf>
    <xf numFmtId="10" fontId="20" fillId="2" borderId="0" xfId="3" applyNumberFormat="1" applyFont="1" applyFill="1" applyAlignment="1">
      <alignment vertical="center"/>
    </xf>
    <xf numFmtId="166" fontId="21" fillId="2" borderId="0" xfId="0" applyNumberFormat="1" applyFont="1" applyFill="1" applyAlignment="1">
      <alignment vertical="center"/>
    </xf>
    <xf numFmtId="10" fontId="20" fillId="2" borderId="0" xfId="0" applyNumberFormat="1" applyFont="1" applyFill="1" applyAlignment="1">
      <alignment vertical="center"/>
    </xf>
    <xf numFmtId="9" fontId="20" fillId="2" borderId="0" xfId="0" applyNumberFormat="1" applyFont="1" applyFill="1" applyAlignment="1">
      <alignment horizontal="center" vertical="center"/>
    </xf>
    <xf numFmtId="170" fontId="20" fillId="2" borderId="0" xfId="0" applyNumberFormat="1" applyFont="1" applyFill="1" applyAlignment="1">
      <alignment vertical="center"/>
    </xf>
    <xf numFmtId="171" fontId="20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164" fontId="20" fillId="2" borderId="0" xfId="0" applyNumberFormat="1" applyFont="1" applyFill="1" applyAlignment="1">
      <alignment horizontal="left" vertical="center" indent="1"/>
    </xf>
    <xf numFmtId="10" fontId="21" fillId="2" borderId="0" xfId="0" applyNumberFormat="1" applyFont="1" applyFill="1" applyAlignment="1">
      <alignment horizontal="center" vertical="center"/>
    </xf>
    <xf numFmtId="10" fontId="20" fillId="2" borderId="0" xfId="0" applyNumberFormat="1" applyFont="1" applyFill="1" applyAlignment="1">
      <alignment horizontal="center" vertical="center"/>
    </xf>
    <xf numFmtId="172" fontId="20" fillId="2" borderId="0" xfId="0" applyNumberFormat="1" applyFont="1" applyFill="1" applyAlignment="1">
      <alignment horizontal="center" vertical="center"/>
    </xf>
    <xf numFmtId="172" fontId="21" fillId="2" borderId="0" xfId="0" applyNumberFormat="1" applyFont="1" applyFill="1" applyAlignment="1">
      <alignment horizontal="center" vertical="center"/>
    </xf>
    <xf numFmtId="164" fontId="20" fillId="2" borderId="0" xfId="0" applyNumberFormat="1" applyFont="1" applyFill="1" applyAlignment="1">
      <alignment vertical="center"/>
    </xf>
    <xf numFmtId="173" fontId="21" fillId="2" borderId="0" xfId="0" applyNumberFormat="1" applyFont="1" applyFill="1" applyAlignment="1">
      <alignment horizontal="center" vertical="center"/>
    </xf>
    <xf numFmtId="173" fontId="20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center" vertical="center" indent="1"/>
    </xf>
    <xf numFmtId="0" fontId="23" fillId="2" borderId="0" xfId="0" applyFont="1" applyFill="1" applyAlignment="1">
      <alignment vertical="center" wrapText="1" indent="1"/>
    </xf>
    <xf numFmtId="10" fontId="24" fillId="2" borderId="0" xfId="3" applyNumberFormat="1" applyFont="1" applyFill="1" applyBorder="1" applyAlignment="1" applyProtection="1">
      <alignment vertical="center"/>
      <protection locked="0"/>
    </xf>
    <xf numFmtId="0" fontId="24" fillId="2" borderId="0" xfId="0" applyFont="1" applyFill="1" applyAlignment="1">
      <alignment vertical="center"/>
    </xf>
    <xf numFmtId="9" fontId="20" fillId="2" borderId="6" xfId="3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3" fontId="21" fillId="2" borderId="0" xfId="2" applyNumberFormat="1" applyFont="1" applyFill="1" applyBorder="1" applyAlignment="1">
      <alignment vertical="center"/>
    </xf>
    <xf numFmtId="10" fontId="21" fillId="2" borderId="0" xfId="0" applyNumberFormat="1" applyFont="1" applyFill="1" applyAlignment="1">
      <alignment vertical="center"/>
    </xf>
    <xf numFmtId="1" fontId="21" fillId="2" borderId="0" xfId="0" applyNumberFormat="1" applyFont="1" applyFill="1" applyAlignment="1">
      <alignment vertical="center"/>
    </xf>
    <xf numFmtId="10" fontId="20" fillId="2" borderId="0" xfId="0" applyNumberFormat="1" applyFont="1" applyFill="1" applyAlignment="1" applyProtection="1">
      <alignment horizontal="center" vertical="center"/>
      <protection locked="0"/>
    </xf>
    <xf numFmtId="174" fontId="20" fillId="2" borderId="0" xfId="1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 indent="1"/>
    </xf>
    <xf numFmtId="0" fontId="20" fillId="2" borderId="0" xfId="0" applyFont="1" applyFill="1"/>
    <xf numFmtId="166" fontId="20" fillId="2" borderId="0" xfId="0" applyNumberFormat="1" applyFont="1" applyFill="1"/>
    <xf numFmtId="10" fontId="20" fillId="2" borderId="0" xfId="0" applyNumberFormat="1" applyFont="1" applyFill="1"/>
    <xf numFmtId="0" fontId="19" fillId="2" borderId="0" xfId="0" applyFont="1" applyFill="1" applyAlignment="1">
      <alignment vertical="center"/>
    </xf>
    <xf numFmtId="0" fontId="19" fillId="2" borderId="0" xfId="4" applyFont="1" applyFill="1" applyBorder="1" applyAlignment="1">
      <alignment vertical="center"/>
    </xf>
    <xf numFmtId="44" fontId="21" fillId="2" borderId="0" xfId="2" applyFont="1" applyFill="1" applyBorder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/>
    </xf>
    <xf numFmtId="175" fontId="20" fillId="2" borderId="0" xfId="0" applyNumberFormat="1" applyFont="1" applyFill="1" applyAlignment="1">
      <alignment horizontal="center" vertical="center"/>
    </xf>
    <xf numFmtId="1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vertical="center" indent="1"/>
    </xf>
    <xf numFmtId="175" fontId="21" fillId="2" borderId="0" xfId="0" applyNumberFormat="1" applyFont="1" applyFill="1" applyAlignment="1">
      <alignment horizontal="center" vertical="center"/>
    </xf>
    <xf numFmtId="1" fontId="20" fillId="2" borderId="0" xfId="0" applyNumberFormat="1" applyFont="1" applyFill="1"/>
    <xf numFmtId="43" fontId="20" fillId="2" borderId="0" xfId="1" applyFont="1" applyFill="1" applyBorder="1"/>
    <xf numFmtId="0" fontId="18" fillId="2" borderId="0" xfId="0" applyFont="1" applyFill="1"/>
    <xf numFmtId="0" fontId="19" fillId="2" borderId="0" xfId="0" applyFont="1" applyFill="1"/>
    <xf numFmtId="0" fontId="21" fillId="2" borderId="0" xfId="0" applyFont="1" applyFill="1"/>
    <xf numFmtId="49" fontId="20" fillId="2" borderId="0" xfId="0" applyNumberFormat="1" applyFont="1" applyFill="1"/>
    <xf numFmtId="3" fontId="20" fillId="2" borderId="0" xfId="0" applyNumberFormat="1" applyFont="1" applyFill="1"/>
    <xf numFmtId="9" fontId="20" fillId="2" borderId="0" xfId="0" applyNumberFormat="1" applyFont="1" applyFill="1"/>
    <xf numFmtId="0" fontId="22" fillId="2" borderId="0" xfId="0" applyFont="1" applyFill="1"/>
    <xf numFmtId="22" fontId="20" fillId="2" borderId="0" xfId="0" applyNumberFormat="1" applyFont="1" applyFill="1"/>
    <xf numFmtId="22" fontId="20" fillId="2" borderId="0" xfId="0" applyNumberFormat="1" applyFont="1" applyFill="1" applyAlignment="1">
      <alignment horizontal="right"/>
    </xf>
    <xf numFmtId="0" fontId="20" fillId="2" borderId="0" xfId="0" applyFont="1" applyFill="1" applyAlignment="1">
      <alignment horizontal="right"/>
    </xf>
    <xf numFmtId="0" fontId="19" fillId="2" borderId="0" xfId="0" applyFont="1" applyFill="1" applyAlignment="1">
      <alignment vertical="center" indent="1"/>
    </xf>
    <xf numFmtId="0" fontId="23" fillId="2" borderId="0" xfId="0" applyFont="1" applyFill="1" applyAlignment="1">
      <alignment vertical="center"/>
    </xf>
    <xf numFmtId="166" fontId="20" fillId="2" borderId="0" xfId="2" applyNumberFormat="1" applyFont="1" applyFill="1" applyBorder="1" applyAlignment="1">
      <alignment horizontal="center" vertical="center"/>
    </xf>
    <xf numFmtId="10" fontId="20" fillId="2" borderId="0" xfId="3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top"/>
    </xf>
    <xf numFmtId="0" fontId="21" fillId="2" borderId="0" xfId="0" applyFont="1" applyFill="1" applyAlignment="1">
      <alignment horizontal="left" vertical="top"/>
    </xf>
    <xf numFmtId="0" fontId="20" fillId="2" borderId="0" xfId="0" applyFont="1" applyFill="1" applyProtection="1">
      <protection locked="0"/>
    </xf>
    <xf numFmtId="14" fontId="3" fillId="2" borderId="0" xfId="0" applyNumberFormat="1" applyFont="1" applyFill="1"/>
    <xf numFmtId="0" fontId="20" fillId="2" borderId="0" xfId="0" applyFont="1" applyFill="1" applyAlignment="1">
      <alignment horizontal="center" vertical="center" indent="1"/>
    </xf>
    <xf numFmtId="0" fontId="21" fillId="2" borderId="2" xfId="0" applyFont="1" applyFill="1" applyBorder="1" applyAlignment="1">
      <alignment horizontal="center" vertical="center" indent="1"/>
    </xf>
    <xf numFmtId="0" fontId="21" fillId="2" borderId="4" xfId="0" applyFont="1" applyFill="1" applyBorder="1" applyAlignment="1">
      <alignment horizontal="center" vertical="center" indent="1"/>
    </xf>
    <xf numFmtId="175" fontId="20" fillId="2" borderId="5" xfId="0" applyNumberFormat="1" applyFont="1" applyFill="1" applyBorder="1" applyAlignment="1" applyProtection="1">
      <alignment horizontal="center" vertical="center"/>
      <protection locked="0"/>
    </xf>
    <xf numFmtId="0" fontId="23" fillId="2" borderId="3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 applyProtection="1">
      <alignment horizontal="center" vertical="center" indent="1"/>
      <protection locked="0"/>
    </xf>
    <xf numFmtId="0" fontId="18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vertical="center" indent="1"/>
    </xf>
    <xf numFmtId="164" fontId="22" fillId="2" borderId="0" xfId="0" applyNumberFormat="1" applyFont="1" applyFill="1" applyAlignment="1">
      <alignment vertical="center" indent="1"/>
    </xf>
    <xf numFmtId="0" fontId="15" fillId="2" borderId="0" xfId="0" applyFont="1" applyFill="1" applyAlignment="1">
      <alignment vertical="top" wrapText="1"/>
    </xf>
    <xf numFmtId="0" fontId="10" fillId="2" borderId="0" xfId="0" applyFont="1" applyFill="1"/>
    <xf numFmtId="0" fontId="25" fillId="2" borderId="0" xfId="0" applyFont="1" applyFill="1" applyAlignment="1">
      <alignment vertical="center" indent="1"/>
    </xf>
    <xf numFmtId="0" fontId="18" fillId="2" borderId="0" xfId="4" applyFont="1" applyFill="1" applyBorder="1" applyAlignment="1">
      <alignment horizontal="center" vertical="center"/>
    </xf>
    <xf numFmtId="0" fontId="19" fillId="2" borderId="0" xfId="4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Heading 1" xfId="4" builtinId="16"/>
    <cellStyle name="Hyperlink" xfId="5" builtinId="8"/>
    <cellStyle name="Normal" xfId="0" builtinId="0"/>
    <cellStyle name="Percent" xfId="3" builtinId="5"/>
  </cellStyles>
  <dxfs count="109">
    <dxf>
      <font>
        <sz val="10"/>
        <color rgb="FF7D7D7D"/>
        <name val="Helvetica Neue"/>
      </font>
      <numFmt numFmtId="0" formatCode="General"/>
      <fill>
        <patternFill patternType="solid">
          <fgColor indexed="64"/>
          <bgColor rgb="FFE0D9CD"/>
        </patternFill>
      </fill>
    </dxf>
    <dxf>
      <font>
        <b val="0"/>
        <sz val="10"/>
        <color rgb="FF7D7D7D"/>
        <name val="Helvetica Neue"/>
      </font>
      <numFmt numFmtId="0" formatCode="General"/>
      <fill>
        <patternFill patternType="solid">
          <fgColor indexed="64"/>
          <bgColor rgb="FFE0D9CD"/>
        </patternFill>
      </fill>
    </dxf>
    <dxf>
      <font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1" justifyLastLine="0" shrinkToFit="0" readingOrder="0"/>
    </dxf>
    <dxf>
      <font>
        <i/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4" formatCode="0.00%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4" formatCode="0.00%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3" formatCode="#,##0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4" formatCode="0.00%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4" formatCode="0.00%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4" formatCode="0.00%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" formatCode="0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D7D7D"/>
        <name val="Helvetica Neue"/>
        <scheme val="none"/>
      </font>
      <numFmt numFmtId="0" formatCode="General"/>
      <fill>
        <patternFill patternType="solid">
          <fgColor indexed="64"/>
          <bgColor rgb="FFE0D9C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38A7E"/>
        <name val="Helvetica Neue"/>
        <scheme val="none"/>
      </font>
      <numFmt numFmtId="1" formatCode="0"/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C00000"/>
        </patternFill>
      </fill>
    </dxf>
    <dxf>
      <font>
        <sz val="10"/>
        <color rgb="FFE0D9CD"/>
        <name val="Helvetica Neue"/>
      </font>
      <fill>
        <patternFill patternType="solid">
          <fgColor indexed="64"/>
          <bgColor rgb="FFE0D9CD"/>
        </patternFill>
      </fill>
      <protection locked="0"/>
    </dxf>
    <dxf>
      <font>
        <sz val="10"/>
        <color rgb="FFE0D9CD"/>
        <name val="Helvetica Neue"/>
      </font>
      <fill>
        <patternFill patternType="solid">
          <fgColor indexed="64"/>
          <bgColor rgb="FFE0D9CD"/>
        </patternFill>
      </fill>
      <protection locked="0"/>
    </dxf>
    <dxf>
      <font>
        <b val="0"/>
        <sz val="10"/>
        <color rgb="FFE0D9CD"/>
        <name val="Helvetica Neue"/>
      </font>
      <fill>
        <patternFill patternType="solid">
          <fgColor indexed="64"/>
          <bgColor rgb="FFE0D9CD"/>
        </patternFill>
      </fill>
      <protection locked="0"/>
    </dxf>
    <dxf>
      <font>
        <sz val="10"/>
        <color rgb="FFE0D9CD"/>
        <name val="Helvetica Neue"/>
      </font>
      <fill>
        <patternFill patternType="solid">
          <fgColor indexed="64"/>
          <bgColor rgb="FFE0D9CD"/>
        </patternFill>
      </fill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  <dxf>
      <font>
        <sz val="10"/>
        <color rgb="FFE0D9CD"/>
        <name val="Helvetica Neue"/>
      </font>
      <fill>
        <patternFill patternType="solid">
          <fgColor indexed="64"/>
          <bgColor rgb="FFE0D9CD"/>
        </patternFill>
      </fill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</dxf>
    <dxf>
      <font>
        <b/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strike val="0"/>
        <outline val="0"/>
        <shadow val="0"/>
        <u val="none"/>
        <vertAlign val="baseline"/>
        <sz val="12"/>
        <color rgb="FFE0D9CD"/>
        <name val="Georgia"/>
        <scheme val="none"/>
      </font>
      <fill>
        <patternFill patternType="solid">
          <fgColor indexed="64"/>
          <bgColor rgb="FFE0D9CD"/>
        </patternFill>
      </fill>
      <alignment vertical="center" indent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strike val="0"/>
        <outline val="0"/>
        <shadow val="0"/>
        <u val="none"/>
        <vertAlign val="baseline"/>
        <sz val="12"/>
        <color rgb="FFE0D9CD"/>
        <name val="Georgia"/>
        <scheme val="none"/>
      </font>
      <fill>
        <patternFill patternType="solid">
          <fgColor indexed="64"/>
          <bgColor rgb="FFE0D9CD"/>
        </patternFill>
      </fill>
      <alignment vertical="center" indent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strike val="0"/>
        <outline val="0"/>
        <shadow val="0"/>
        <u val="none"/>
        <vertAlign val="baseline"/>
        <sz val="12"/>
        <color rgb="FFE0D9CD"/>
        <name val="Georgia"/>
        <scheme val="none"/>
      </font>
      <fill>
        <patternFill patternType="solid">
          <fgColor indexed="64"/>
          <bgColor rgb="FFE0D9CD"/>
        </patternFill>
      </fill>
      <alignment vertical="center" indent="1"/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scheme val="none"/>
      </font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numFmt numFmtId="1" formatCode="0"/>
      <fill>
        <patternFill patternType="solid">
          <fgColor indexed="64"/>
          <bgColor rgb="FFE0D9CD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numFmt numFmtId="175" formatCode="mm/dd/yyyy"/>
      <fill>
        <patternFill patternType="solid">
          <fgColor indexed="64"/>
          <bgColor rgb="FFE0D9CD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numFmt numFmtId="166" formatCode="&quot;$&quot;#,##0;\(&quot;$&quot;#,##0\);\-"/>
      <fill>
        <patternFill patternType="solid">
          <fgColor indexed="64"/>
          <bgColor rgb="FFE0D9CD"/>
        </patternFill>
      </fill>
      <alignment vertical="center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vertical="center"/>
    </dxf>
    <dxf>
      <font>
        <b/>
        <strike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/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  <dxf>
      <font>
        <sz val="10"/>
        <color rgb="FFE0D9CD"/>
        <name val="Helvetica Neue"/>
      </font>
      <numFmt numFmtId="166" formatCode="&quot;$&quot;#,##0;\(&quot;$&quot;#,##0\);\-"/>
      <fill>
        <patternFill patternType="solid">
          <fgColor indexed="64"/>
          <bgColor rgb="FFE0D9CD"/>
        </patternFill>
      </fill>
    </dxf>
    <dxf>
      <font>
        <b val="0"/>
        <sz val="10"/>
        <color rgb="FFE0D9CD"/>
        <name val="Helvetica Neue"/>
      </font>
      <fill>
        <patternFill patternType="solid">
          <fgColor indexed="64"/>
          <bgColor rgb="FFE0D9CD"/>
        </patternFill>
      </fill>
    </dxf>
    <dxf>
      <font>
        <sz val="10"/>
        <color rgb="FFE0D9CD"/>
        <name val="Helvetica Neue"/>
      </font>
      <fill>
        <patternFill patternType="solid">
          <fgColor indexed="64"/>
          <bgColor rgb="FFE0D9C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E0D9C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  <protection locked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1" justifyLastLine="0" shrinkToFit="0" readingOrder="0"/>
      <protection locked="0"/>
    </dxf>
    <dxf>
      <font>
        <b val="0"/>
        <strike val="0"/>
        <outline val="0"/>
        <shadow val="0"/>
        <u val="none"/>
        <vertAlign val="baseline"/>
        <sz val="10"/>
        <color rgb="FF7D7D7D"/>
        <name val="Helvetica Neue"/>
        <scheme val="none"/>
      </font>
      <fill>
        <patternFill patternType="solid">
          <fgColor indexed="64"/>
          <bgColor rgb="FFE0D9CD"/>
        </patternFill>
      </fill>
      <alignment horizontal="center" vertical="center" textRotation="0" wrapText="0" indent="1" justifyLastLine="0" shrinkToFit="0" readingOrder="0"/>
      <border diagonalUp="0" diagonalDown="0" outline="0">
        <left style="thin">
          <color rgb="FF2D2D2D"/>
        </left>
        <right style="thin">
          <color rgb="FF2D2D2D"/>
        </right>
        <top/>
        <bottom/>
      </border>
    </dxf>
  </dxfs>
  <tableStyles count="0" defaultTableStyle="TableStyleMedium2" defaultPivotStyle="PivotStyleLight16"/>
  <colors>
    <mruColors>
      <color rgb="FFE0D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4" xr16:uid="{B1413CCD-6ABC-4BBE-8E73-00C80B15FE5D}" autoFormatId="16" applyNumberFormats="0" applyBorderFormats="0" applyFontFormats="0" applyPatternFormats="0" applyAlignmentFormats="0" applyWidthHeightFormats="0">
  <queryTableRefresh nextId="10">
    <queryTableFields count="6">
      <queryTableField id="2" name="Company" tableColumnId="2"/>
      <queryTableField id="3" name="Line Item" tableColumnId="3"/>
      <queryTableField id="5" name="Value (USD)" tableColumnId="5"/>
      <queryTableField id="6" name="Period End" tableColumnId="6"/>
      <queryTableField id="7" name="FY" tableColumnId="7"/>
      <queryTableField id="8" name="Fil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274552F3-4AB9-4381-8DED-B6328AFD1642}" autoFormatId="16" applyNumberFormats="0" applyBorderFormats="0" applyFontFormats="0" applyPatternFormats="0" applyAlignmentFormats="0" applyWidthHeightFormats="0">
  <queryTableRefresh nextId="7">
    <queryTableFields count="6">
      <queryTableField id="1" name="FY" tableColumnId="1"/>
      <queryTableField id="2" name="Company" tableColumnId="2"/>
      <queryTableField id="3" name="Line Item" tableColumnId="3"/>
      <queryTableField id="4" name="Value" tableColumnId="4"/>
      <queryTableField id="5" name="Period End" tableColumnId="5"/>
      <queryTableField id="6" name="File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BA12DAFC-B9B3-4745-BC16-355185A8818C}" autoFormatId="16" applyNumberFormats="0" applyBorderFormats="0" applyFontFormats="0" applyPatternFormats="0" applyAlignmentFormats="0" applyWidthHeightFormats="0">
  <queryTableRefresh nextId="7">
    <queryTableFields count="6">
      <queryTableField id="1" name="FY" tableColumnId="1"/>
      <queryTableField id="2" name="Company" tableColumnId="2"/>
      <queryTableField id="3" name="Line Item" tableColumnId="3"/>
      <queryTableField id="4" name="Value (USD)" tableColumnId="4"/>
      <queryTableField id="5" name="Period End" tableColumnId="5"/>
      <queryTableField id="6" name="File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E3A9A51-C224-41CF-8DAF-8E3459AEFE00}" autoFormatId="16" applyNumberFormats="0" applyBorderFormats="0" applyFontFormats="0" applyPatternFormats="0" applyAlignmentFormats="0" applyWidthHeightFormats="0">
  <queryTableRefresh nextId="5">
    <queryTableFields count="2">
      <queryTableField id="3" name="Yield" tableColumnId="1"/>
      <queryTableField id="4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9" xr16:uid="{FEA96195-9283-4458-A172-9C240827FC00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40C32BE6-E055-4575-90A6-BBB7AE9CA785}" autoFormatId="16" applyNumberFormats="0" applyBorderFormats="0" applyFontFormats="0" applyPatternFormats="0" applyAlignmentFormats="0" applyWidthHeightFormats="0">
  <queryTableRefresh nextId="6">
    <queryTableFields count="4">
      <queryTableField id="1" name="Related" tableColumnId="1"/>
      <queryTableField id="2" name="Last" tableColumnId="2"/>
      <queryTableField id="3" name="Previous" tableColumnId="3"/>
      <queryTableField id="5" name="Referenc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6" xr16:uid="{79DA69C4-9C8B-40EC-9EDF-F829EA32E457}" autoFormatId="16" applyNumberFormats="0" applyBorderFormats="0" applyFontFormats="0" applyPatternFormats="0" applyAlignmentFormats="0" applyWidthHeightFormats="0">
  <queryTableRefresh nextId="12">
    <queryTableFields count="11">
      <queryTableField id="1" name="Ticker" tableColumnId="1"/>
      <queryTableField id="2" name="Company" tableColumnId="2"/>
      <queryTableField id="3" name="CIK" tableColumnId="3"/>
      <queryTableField id="4" name="Form" tableColumnId="4"/>
      <queryTableField id="5" name="FY" tableColumnId="5"/>
      <queryTableField id="6" name="FP" tableColumnId="6"/>
      <queryTableField id="7" name="As-of" tableColumnId="7"/>
      <queryTableField id="8" name="Filed" tableColumnId="8"/>
      <queryTableField id="9" name="Shares Outstanding" tableColumnId="9"/>
      <queryTableField id="10" name="Accession" tableColumnId="10"/>
      <queryTableField id="11" name="Filing URL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3" xr16:uid="{652C8519-F570-45F5-BC34-64D115425F5A}" autoFormatId="16" applyNumberFormats="0" applyBorderFormats="0" applyFontFormats="0" applyPatternFormats="0" applyAlignmentFormats="0" applyWidthHeightFormats="0">
  <queryTableRefresh nextId="13">
    <queryTableFields count="12">
      <queryTableField id="1" name="Ticker" tableColumnId="1"/>
      <queryTableField id="2" name="FY" tableColumnId="2"/>
      <queryTableField id="3" name="Company" tableColumnId="3"/>
      <queryTableField id="4" name="Interest Expense" tableColumnId="4"/>
      <queryTableField id="5" name="Period End" tableColumnId="5"/>
      <queryTableField id="6" name="Filed" tableColumnId="6"/>
      <queryTableField id="7" name="Debt End" tableColumnId="7"/>
      <queryTableField id="8" name="Debt Beginning" tableColumnId="8"/>
      <queryTableField id="9" name="Debt Average" tableColumnId="9"/>
      <queryTableField id="10" name="Pre-Tax Cost of Debt" tableColumnId="10"/>
      <queryTableField id="11" name="Effective Tax Rate" tableColumnId="11"/>
      <queryTableField id="12" name="After-Tax Cost of Debt" tableColumnId="1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BEC5C-85E0-4333-BC46-E0A0995CDF99}" name="TickerSubmission" displayName="TickerSubmission" ref="A2:A3" totalsRowShown="0" headerRowDxfId="108" dataDxfId="107" tableBorderDxfId="106">
  <autoFilter ref="A2:A3" xr:uid="{39BBEC5C-85E0-4333-BC46-E0A0995CDF99}"/>
  <tableColumns count="1">
    <tableColumn id="1" xr3:uid="{26B8E2FD-371C-43D6-9B98-0217C694A391}" name="Ticker" dataDxfId="10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AD4567-206E-4EB5-B970-7E0A94D6820E}" name="Table11" displayName="Table11" ref="A3:B13" totalsRowShown="0" headerRowDxfId="104" dataDxfId="103">
  <autoFilter ref="A3:B13" xr:uid="{C3AD4567-206E-4EB5-B970-7E0A94D6820E}">
    <filterColumn colId="0" hiddenButton="1"/>
    <filterColumn colId="1" hiddenButton="1"/>
  </autoFilter>
  <tableColumns count="2">
    <tableColumn id="1" xr3:uid="{C2D7237B-A02D-4FEF-87CD-563B8BA798CE}" name="Item" dataDxfId="102"/>
    <tableColumn id="2" xr3:uid="{32BAB7AD-B296-43E2-9C4D-0DD1D92E340A}" name="Current Value ($)" dataDxfId="101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2EFE95-89B6-4B08-B025-65FA9F52AA32}" name="EDGAR_BalanceSheet" displayName="EDGAR_BalanceSheet" ref="B2:G29" tableType="queryTable" totalsRowShown="0" headerRowDxfId="100" dataDxfId="99" tableBorderDxfId="98">
  <autoFilter ref="B2:G29" xr:uid="{442EFE95-89B6-4B08-B025-65FA9F52AA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78E4E42E-9B55-439D-A396-C53F5548C30E}" uniqueName="2" name="Company" queryTableFieldId="2" dataDxfId="32"/>
    <tableColumn id="3" xr3:uid="{F77AEC75-B0CA-43EE-8B66-173D6E1D2A27}" uniqueName="3" name="Line Item" queryTableFieldId="3" dataDxfId="31"/>
    <tableColumn id="5" xr3:uid="{95B62263-B8FC-45C5-9DE1-0396C5A44021}" uniqueName="5" name="Value (USD)" queryTableFieldId="5" dataDxfId="97" dataCellStyle="Currency"/>
    <tableColumn id="6" xr3:uid="{C362550C-5F20-4532-9E0C-D2DD221A6399}" uniqueName="6" name="Period End" queryTableFieldId="6" dataDxfId="96"/>
    <tableColumn id="7" xr3:uid="{C50DFD9E-8B1C-40C7-886A-D71A2CCA8E7F}" uniqueName="7" name="FY" queryTableFieldId="7" dataDxfId="95"/>
    <tableColumn id="8" xr3:uid="{68417FCA-3767-4067-B83F-17398BD7896A}" uniqueName="8" name="Filed" queryTableFieldId="8" dataDxfId="94"/>
  </tableColumns>
  <tableStyleInfo name="TableStyleLight11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DBEEF4-18EB-4635-A5A1-EF39772AD526}" name="EDGAR_IncomeStatement" displayName="EDGAR_IncomeStatement" ref="J2:O20" tableType="queryTable" headerRowDxfId="93" dataDxfId="92" totalsRowDxfId="90" tableBorderDxfId="91">
  <autoFilter ref="J2:O20" xr:uid="{CCDBEEF4-18EB-4635-A5A1-EF39772AD5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9E8DC0D-C43E-4A11-AA71-9C8DD0795524}" uniqueName="1" name="FY" totalsRowLabel="Total" queryTableFieldId="1" dataDxfId="37" totalsRowDxfId="89"/>
    <tableColumn id="2" xr3:uid="{E1AE64E8-7CEE-4ED6-91E9-AF683074AAA4}" uniqueName="2" name="Company" queryTableFieldId="2" dataDxfId="36" totalsRowDxfId="88"/>
    <tableColumn id="3" xr3:uid="{1A1EBAF3-2536-4E56-94E7-F6FCC22F650D}" uniqueName="3" name="Line Item" queryTableFieldId="3" dataDxfId="35" totalsRowDxfId="87"/>
    <tableColumn id="4" xr3:uid="{0D154B30-34DC-4C94-870B-364F2D8EEE61}" uniqueName="4" name="Value" queryTableFieldId="4" dataDxfId="86" totalsRowDxfId="85" dataCellStyle="Currency"/>
    <tableColumn id="5" xr3:uid="{A6CC55F4-7ADA-430C-9916-26FA60EA6DFA}" uniqueName="5" name="Period End" queryTableFieldId="5" dataDxfId="34" totalsRowDxfId="84"/>
    <tableColumn id="6" xr3:uid="{8C898CA2-4D56-4777-826E-2FA15FDE3FBC}" uniqueName="6" name="Filed" totalsRowFunction="count" queryTableFieldId="6" dataDxfId="33" totalsRowDxfId="83"/>
  </tableColumns>
  <tableStyleInfo name="TableStyleLight11" showFirstColumn="1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41725B-3289-4CB0-BEBC-5BFC1A88579C}" name="EDGAR_StatementOfCashFlows" displayName="EDGAR_StatementOfCashFlows" ref="R2:W26" tableType="queryTable" headerRowDxfId="82" dataDxfId="81" totalsRowDxfId="79" tableBorderDxfId="80">
  <autoFilter ref="R2:W26" xr:uid="{5441725B-3289-4CB0-BEBC-5BFC1A8857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637C957-AE9D-4A21-8127-63C48C77E991}" uniqueName="1" name="FY" totalsRowLabel="Total" queryTableFieldId="1" dataDxfId="43" totalsRowDxfId="78"/>
    <tableColumn id="2" xr3:uid="{14AA6BFA-3C5C-4EE0-9C95-D874E358CEB9}" uniqueName="2" name="Company" queryTableFieldId="2" dataDxfId="42" totalsRowDxfId="77"/>
    <tableColumn id="3" xr3:uid="{AA64A2F1-6A88-49BD-91FF-D2EB85FF29A2}" uniqueName="3" name="Line Item" queryTableFieldId="3" dataDxfId="41" totalsRowDxfId="76"/>
    <tableColumn id="4" xr3:uid="{AEDF3F4E-3884-4760-8DDF-8D5EE0A2C72F}" uniqueName="4" name="Value (USD)" queryTableFieldId="4" dataDxfId="40" totalsRowDxfId="75" dataCellStyle="Currency"/>
    <tableColumn id="5" xr3:uid="{6291C58A-4478-4EA5-BA99-5E68A1F0EE42}" uniqueName="5" name="Period End" queryTableFieldId="5" dataDxfId="39" totalsRowDxfId="74"/>
    <tableColumn id="6" xr3:uid="{0ED406F1-8FF0-480B-A654-3BC275549B8C}" uniqueName="6" name="Filed" totalsRowFunction="count" queryTableFieldId="6" dataDxfId="38" totalsRowDxfId="73"/>
  </tableColumns>
  <tableStyleInfo name="TableStyleLight11" showFirstColumn="1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AB8AE-5A2E-4CB7-8A77-ACD663C345EE}" name="_10YTreasury" displayName="_10YTreasury" ref="A1:B2" tableType="queryTable" totalsRowShown="0" headerRowDxfId="72" dataDxfId="71" tableBorderDxfId="70">
  <autoFilter ref="A1:B2" xr:uid="{98EAB8AE-5A2E-4CB7-8A77-ACD663C345EE}">
    <filterColumn colId="0" hiddenButton="1"/>
    <filterColumn colId="1" hiddenButton="1"/>
  </autoFilter>
  <tableColumns count="2">
    <tableColumn id="1" xr3:uid="{267C2E3F-1F0F-4C73-879A-A6042B6A0F7B}" uniqueName="1" name="Yield" queryTableFieldId="3" dataDxfId="1"/>
    <tableColumn id="2" xr3:uid="{999F9B58-5210-45DA-BF5A-A7D0D6CDB0CE}" uniqueName="2" name="Value" queryTableFieldId="4" dataDxfId="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C9D49-33F1-4A02-8139-BC7EBFB9746F}" name="StockInformation" displayName="StockInformation" ref="D1:E17" tableType="queryTable" totalsRowShown="0" headerRowDxfId="69" dataDxfId="68" tableBorderDxfId="67">
  <autoFilter ref="D1:E17" xr:uid="{E5BC9D49-33F1-4A02-8139-BC7EBFB9746F}">
    <filterColumn colId="0" hiddenButton="1"/>
    <filterColumn colId="1" hiddenButton="1"/>
  </autoFilter>
  <tableColumns count="2">
    <tableColumn id="1" xr3:uid="{08FDC466-37E6-4481-AC84-F900D68C4665}" uniqueName="1" name="Metric" queryTableFieldId="1" dataDxfId="3"/>
    <tableColumn id="2" xr3:uid="{8B5906C1-1DC8-45C9-AA24-2DBAB282A0EE}" uniqueName="2" name="Value" queryTableFieldId="2" dataDxfId="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7D900-B837-467D-9B24-3D9355641838}" name="Corporate_Tax_Rate" displayName="Corporate_Tax_Rate" ref="G1:J8" tableType="queryTable" totalsRowShown="0" headerRowDxfId="66" dataDxfId="65" tableBorderDxfId="64">
  <autoFilter ref="G1:J8" xr:uid="{7AE7D900-B837-467D-9B24-3D9355641838}">
    <filterColumn colId="0" hiddenButton="1"/>
    <filterColumn colId="1" hiddenButton="1"/>
    <filterColumn colId="2" hiddenButton="1"/>
    <filterColumn colId="3" hiddenButton="1"/>
  </autoFilter>
  <tableColumns count="4">
    <tableColumn id="1" xr3:uid="{8F6CAED2-D995-4341-A1F3-685BA3727A79}" uniqueName="1" name="Related" queryTableFieldId="1" dataDxfId="7"/>
    <tableColumn id="2" xr3:uid="{7649CA73-34CB-4816-B26E-4832E1F0DBA7}" uniqueName="2" name="Last" queryTableFieldId="2" dataDxfId="6"/>
    <tableColumn id="3" xr3:uid="{E0D6E550-A90B-4D00-BFBD-E4399CE9C6CC}" uniqueName="3" name="Previous" queryTableFieldId="3" dataDxfId="5"/>
    <tableColumn id="5" xr3:uid="{822F54E8-4D13-46FB-A555-A7B256932D95}" uniqueName="5" name="Reference" queryTableFieldId="5" dataDxfId="4"/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5CFC03-4953-4FE1-95F4-6E9CD75303C2}" name="EDGAR_SharesOutstanding" displayName="EDGAR_SharesOutstanding" ref="A25:K26" tableType="queryTable" totalsRowShown="0" headerRowDxfId="63" dataDxfId="62" tableBorderDxfId="61">
  <autoFilter ref="A25:K26" xr:uid="{705CFC03-4953-4FE1-95F4-6E9CD75303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CED6806-8797-47F6-B31B-FAAF2F075E49}" uniqueName="1" name="Ticker" queryTableFieldId="1" dataDxfId="18"/>
    <tableColumn id="2" xr3:uid="{0236AD78-FFAD-4794-BB20-8DD80F44F3B1}" uniqueName="2" name="Company" queryTableFieldId="2" dataDxfId="17"/>
    <tableColumn id="3" xr3:uid="{7F3C13A1-D09B-4053-860B-5F6DE23D7886}" uniqueName="3" name="CIK" queryTableFieldId="3" dataDxfId="16"/>
    <tableColumn id="4" xr3:uid="{7F23107C-E7B9-4AC6-AFDC-8C0385118CCA}" uniqueName="4" name="Form" queryTableFieldId="4" dataDxfId="15"/>
    <tableColumn id="5" xr3:uid="{03CFBEAB-B197-4EE7-A568-4979BFF4BDC6}" uniqueName="5" name="FY" queryTableFieldId="5" dataDxfId="14"/>
    <tableColumn id="6" xr3:uid="{E09836A0-179A-41D9-A651-F5FB3EA0625D}" uniqueName="6" name="FP" queryTableFieldId="6" dataDxfId="13"/>
    <tableColumn id="7" xr3:uid="{EADD0BFE-FBAE-4FF2-BD4A-95A18782FEA7}" uniqueName="7" name="As-of" queryTableFieldId="7" dataDxfId="12"/>
    <tableColumn id="8" xr3:uid="{14B14465-E3CB-4499-9921-D5818416657D}" uniqueName="8" name="Filed" queryTableFieldId="8" dataDxfId="11"/>
    <tableColumn id="9" xr3:uid="{F9C9239A-6F2D-490A-AA64-352303B02845}" uniqueName="9" name="Shares Outstanding" queryTableFieldId="9" dataDxfId="10" dataCellStyle="Comma"/>
    <tableColumn id="10" xr3:uid="{9BEC28A2-A448-4929-8782-7F563C560D7F}" uniqueName="10" name="Accession" queryTableFieldId="10" dataDxfId="9"/>
    <tableColumn id="11" xr3:uid="{A5521FA2-2A7A-480D-9E62-E7F9C5949A52}" uniqueName="11" name="Filing URL" queryTableFieldId="11" dataDxfId="8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BA044F-6A48-4DCE-AED4-423BEB664CF4}" name="Cost_of_Debt" displayName="Cost_of_Debt" ref="A22:L23" tableType="queryTable" totalsRowShown="0" headerRowDxfId="60" dataDxfId="59" tableBorderDxfId="58">
  <autoFilter ref="A22:L23" xr:uid="{9DBA044F-6A48-4DCE-AED4-423BEB664C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FDAFCB5-563D-41CA-ADC0-CD15258625BA}" uniqueName="1" name="Ticker" queryTableFieldId="1" dataDxfId="30"/>
    <tableColumn id="2" xr3:uid="{B2182823-D3E5-490F-AC9D-26B105E65CDE}" uniqueName="2" name="FY" queryTableFieldId="2" dataDxfId="29"/>
    <tableColumn id="3" xr3:uid="{0D865BD9-9E18-45C1-95D4-299C5AAEE42A}" uniqueName="3" name="Company" queryTableFieldId="3" dataDxfId="28"/>
    <tableColumn id="4" xr3:uid="{E2D5DC3F-77F1-414C-89AF-72B7060D0E3A}" uniqueName="4" name="Interest Expense" queryTableFieldId="4" dataDxfId="27" dataCellStyle="Currency"/>
    <tableColumn id="5" xr3:uid="{8F3C91E1-D685-43CC-A3CA-92DE29F6D6FF}" uniqueName="5" name="Period End" queryTableFieldId="5" dataDxfId="26"/>
    <tableColumn id="6" xr3:uid="{DD57AE26-AB25-46D8-BF68-818C1AB8CE5B}" uniqueName="6" name="Filed" queryTableFieldId="6" dataDxfId="25"/>
    <tableColumn id="7" xr3:uid="{BDA10D16-647A-4861-91AD-5EE6605BAFC4}" uniqueName="7" name="Debt End" queryTableFieldId="7" dataDxfId="24" dataCellStyle="Currency"/>
    <tableColumn id="8" xr3:uid="{B5BD0631-A4F3-48DC-92EA-763693578837}" uniqueName="8" name="Debt Beginning" queryTableFieldId="8" dataDxfId="23" dataCellStyle="Currency"/>
    <tableColumn id="9" xr3:uid="{D2DD8471-7DC8-4F02-8ABF-9F07A60E11C0}" uniqueName="9" name="Debt Average" queryTableFieldId="9" dataDxfId="22" dataCellStyle="Currency"/>
    <tableColumn id="10" xr3:uid="{8DEBEB0C-3009-45FC-9C5F-82572E08D01C}" uniqueName="10" name="Pre-Tax Cost of Debt" queryTableFieldId="10" dataDxfId="21" dataCellStyle="Percent"/>
    <tableColumn id="11" xr3:uid="{D93EEA84-B6E3-49C4-9B42-BD354030D4E7}" uniqueName="11" name="Effective Tax Rate" queryTableFieldId="11" dataDxfId="20" dataCellStyle="Percent"/>
    <tableColumn id="12" xr3:uid="{CD64761C-366C-4A61-B676-DF0D98DFE229}" uniqueName="12" name="After-Tax Cost of Debt" queryTableFieldId="12" dataDxfId="19" dataCellStyle="Percen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3700FE-0527-4C9B-9F07-6AC7AD23F335}" name="Table5" displayName="Table5" ref="A3:C10" headerRowDxfId="57" dataDxfId="56" totalsRowDxfId="55">
  <autoFilter ref="A3:C10" xr:uid="{D83700FE-0527-4C9B-9F07-6AC7AD23F335}">
    <filterColumn colId="0" hiddenButton="1"/>
    <filterColumn colId="1" hiddenButton="1"/>
    <filterColumn colId="2" hiddenButton="1"/>
  </autoFilter>
  <tableColumns count="3">
    <tableColumn id="1" xr3:uid="{67943B52-BEB8-420F-B567-30A5AA4B2AD8}" name="Area" totalsRowLabel="Total" dataDxfId="54"/>
    <tableColumn id="2" xr3:uid="{9D9F19A1-E5F0-4BAC-B0AF-1902B7C1EE3D}" name="When to use" dataDxfId="53"/>
    <tableColumn id="3" xr3:uid="{E57E2B35-6732-40E6-B488-7D269856B290}" name="Instruction" totalsRowFunction="count" dataDxfId="52"/>
  </tableColumns>
  <tableStyleInfo name="TableStyleLight1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5" row="6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DE9A120-1239-4CD4-AB5C-A8567146929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d0563f2-8033-416f-8f85-1c5effc45ad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86AF6A5-1334-437D-BC88-1DEA61133923}">
  <we:reference id="WA200002591" version="3.0.0.6" store="Omex" storeType="OMEX"/>
  <we:alternateReferences>
    <we:reference id="WA200002591" version="3.0.0.6" store="WA20000259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_xldudf_XBRL_SHOWDATA</we:customFunctionIds>
        <we:customFunctionIds>_xldudf_XBRL_SHOWSQL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saiahmoragne12@gmail.com" TargetMode="External"/><Relationship Id="rId1" Type="http://schemas.openxmlformats.org/officeDocument/2006/relationships/hyperlink" Target="https://isaiahmb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C9F3-8196-4ED6-9B5F-38C522FEB149}">
  <sheetPr>
    <tabColor rgb="FF131313"/>
  </sheetPr>
  <dimension ref="A1:H50"/>
  <sheetViews>
    <sheetView topLeftCell="B1" zoomScale="115" zoomScaleNormal="115" workbookViewId="0">
      <selection activeCell="C4" sqref="C4"/>
    </sheetView>
  </sheetViews>
  <sheetFormatPr defaultRowHeight="15.75"/>
  <cols>
    <col min="1" max="1" width="3.375" style="1" customWidth="1"/>
    <col min="2" max="2" width="18.375" style="1" customWidth="1"/>
    <col min="3" max="3" width="63.375" style="1" customWidth="1"/>
    <col min="4" max="6" width="13.375" style="1" customWidth="1"/>
    <col min="7" max="16384" width="9" style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41.25">
      <c r="A2" s="2"/>
      <c r="B2" s="5" t="s">
        <v>469</v>
      </c>
      <c r="C2" s="2"/>
      <c r="D2" s="2"/>
      <c r="E2" s="2"/>
      <c r="F2" s="2"/>
      <c r="G2" s="2"/>
      <c r="H2" s="2"/>
    </row>
    <row r="3" spans="1:8" ht="21">
      <c r="A3" s="2"/>
      <c r="B3" s="6" t="s">
        <v>470</v>
      </c>
      <c r="C3" s="2"/>
      <c r="D3" s="2"/>
      <c r="E3" s="2"/>
      <c r="F3" s="2"/>
      <c r="G3" s="2"/>
      <c r="H3" s="2"/>
    </row>
    <row r="4" spans="1:8">
      <c r="A4" s="2"/>
      <c r="B4" s="3" t="s">
        <v>471</v>
      </c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 ht="16.5">
      <c r="A6" s="2"/>
      <c r="B6" s="7" t="s">
        <v>472</v>
      </c>
      <c r="C6" s="2"/>
      <c r="D6" s="2"/>
      <c r="E6" s="2"/>
      <c r="F6" s="2"/>
      <c r="G6" s="2"/>
      <c r="H6" s="2"/>
    </row>
    <row r="7" spans="1:8">
      <c r="A7" s="2"/>
      <c r="B7" s="8" t="s">
        <v>473</v>
      </c>
      <c r="C7" s="10" t="s">
        <v>474</v>
      </c>
      <c r="D7" s="2"/>
      <c r="E7" s="2"/>
      <c r="F7" s="2"/>
      <c r="G7" s="2"/>
      <c r="H7" s="2"/>
    </row>
    <row r="8" spans="1:8">
      <c r="A8" s="2"/>
      <c r="B8" s="8" t="s">
        <v>475</v>
      </c>
      <c r="C8" s="10" t="s">
        <v>476</v>
      </c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 ht="16.5">
      <c r="A10" s="2"/>
      <c r="B10" s="7" t="s">
        <v>477</v>
      </c>
      <c r="C10" s="2"/>
      <c r="D10" s="2"/>
      <c r="E10" s="2"/>
      <c r="F10" s="2"/>
      <c r="G10" s="2"/>
      <c r="H10" s="2"/>
    </row>
    <row r="11" spans="1:8">
      <c r="A11" s="2"/>
      <c r="B11" s="9">
        <v>1</v>
      </c>
      <c r="C11" s="2" t="s">
        <v>478</v>
      </c>
      <c r="D11" s="2"/>
      <c r="E11" s="2"/>
      <c r="F11" s="2"/>
      <c r="G11" s="2"/>
      <c r="H11" s="2"/>
    </row>
    <row r="12" spans="1:8">
      <c r="A12" s="2"/>
      <c r="B12" s="9">
        <v>2</v>
      </c>
      <c r="C12" s="2" t="s">
        <v>479</v>
      </c>
      <c r="D12" s="2"/>
      <c r="E12" s="2"/>
      <c r="F12" s="2"/>
      <c r="G12" s="2"/>
      <c r="H12" s="2"/>
    </row>
    <row r="13" spans="1:8">
      <c r="A13" s="2"/>
      <c r="B13" s="9">
        <v>3</v>
      </c>
      <c r="C13" s="2" t="s">
        <v>480</v>
      </c>
      <c r="D13" s="2"/>
      <c r="E13" s="2"/>
      <c r="F13" s="2"/>
      <c r="G13" s="2"/>
      <c r="H13" s="2"/>
    </row>
    <row r="14" spans="1:8">
      <c r="A14" s="2"/>
      <c r="B14" s="9">
        <v>4</v>
      </c>
      <c r="C14" s="2" t="s">
        <v>481</v>
      </c>
      <c r="D14" s="2"/>
      <c r="E14" s="2"/>
      <c r="F14" s="2"/>
      <c r="G14" s="2"/>
      <c r="H14" s="2"/>
    </row>
    <row r="15" spans="1:8">
      <c r="A15" s="2"/>
      <c r="B15" s="9">
        <v>5</v>
      </c>
      <c r="C15" s="2" t="s">
        <v>482</v>
      </c>
      <c r="D15" s="2"/>
      <c r="E15" s="2"/>
      <c r="F15" s="2"/>
      <c r="G15" s="2"/>
      <c r="H15" s="2"/>
    </row>
    <row r="16" spans="1:8">
      <c r="A16" s="2"/>
      <c r="B16" s="9">
        <v>6</v>
      </c>
      <c r="C16" s="2" t="s">
        <v>483</v>
      </c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 ht="16.5">
      <c r="A18" s="2"/>
      <c r="B18" s="7" t="s">
        <v>484</v>
      </c>
      <c r="C18" s="2"/>
      <c r="D18" s="2"/>
      <c r="E18" s="2"/>
      <c r="F18" s="2"/>
      <c r="G18" s="2"/>
      <c r="H18" s="2"/>
    </row>
    <row r="19" spans="1:8">
      <c r="A19" s="2"/>
      <c r="B19" s="8" t="s">
        <v>485</v>
      </c>
      <c r="C19" s="2" t="s">
        <v>486</v>
      </c>
      <c r="D19" s="2"/>
      <c r="E19" s="2"/>
      <c r="F19" s="2"/>
      <c r="G19" s="2"/>
      <c r="H19" s="2"/>
    </row>
    <row r="20" spans="1:8">
      <c r="A20" s="2"/>
      <c r="B20" s="8" t="s">
        <v>487</v>
      </c>
      <c r="C20" s="2" t="s">
        <v>488</v>
      </c>
      <c r="D20" s="2"/>
      <c r="E20" s="2"/>
      <c r="F20" s="2"/>
      <c r="G20" s="2"/>
      <c r="H20" s="2"/>
    </row>
    <row r="21" spans="1:8">
      <c r="A21" s="2"/>
      <c r="B21" s="8" t="s">
        <v>15</v>
      </c>
      <c r="C21" s="2" t="s">
        <v>489</v>
      </c>
      <c r="D21" s="2"/>
      <c r="E21" s="2"/>
      <c r="F21" s="2"/>
      <c r="G21" s="2"/>
      <c r="H21" s="2"/>
    </row>
    <row r="22" spans="1:8">
      <c r="A22" s="2"/>
      <c r="B22" s="8" t="s">
        <v>490</v>
      </c>
      <c r="C22" s="2" t="s">
        <v>491</v>
      </c>
      <c r="D22" s="2"/>
      <c r="E22" s="2"/>
      <c r="F22" s="2"/>
      <c r="G22" s="2"/>
      <c r="H22" s="2"/>
    </row>
    <row r="23" spans="1:8">
      <c r="A23" s="2"/>
      <c r="B23" s="8" t="s">
        <v>492</v>
      </c>
      <c r="C23" s="2" t="s">
        <v>493</v>
      </c>
      <c r="D23" s="2"/>
      <c r="E23" s="2"/>
      <c r="F23" s="2"/>
      <c r="G23" s="2"/>
      <c r="H23" s="2"/>
    </row>
    <row r="24" spans="1:8">
      <c r="A24" s="2"/>
      <c r="B24" s="8" t="s">
        <v>494</v>
      </c>
      <c r="C24" s="2" t="s">
        <v>495</v>
      </c>
      <c r="D24" s="2"/>
      <c r="E24" s="2"/>
      <c r="F24" s="2"/>
      <c r="G24" s="2"/>
      <c r="H24" s="2"/>
    </row>
    <row r="25" spans="1:8">
      <c r="A25" s="2"/>
      <c r="B25" s="8" t="s">
        <v>496</v>
      </c>
      <c r="C25" s="2" t="s">
        <v>497</v>
      </c>
      <c r="D25" s="2"/>
      <c r="E25" s="2"/>
      <c r="F25" s="2"/>
      <c r="G25" s="2"/>
      <c r="H25" s="2"/>
    </row>
    <row r="26" spans="1:8">
      <c r="A26" s="2"/>
      <c r="B26" s="8" t="s">
        <v>249</v>
      </c>
      <c r="C26" s="2" t="s">
        <v>498</v>
      </c>
      <c r="D26" s="2"/>
      <c r="E26" s="2"/>
      <c r="F26" s="2"/>
      <c r="G26" s="2"/>
      <c r="H26" s="2"/>
    </row>
    <row r="27" spans="1:8">
      <c r="A27" s="2"/>
      <c r="B27" s="8" t="s">
        <v>499</v>
      </c>
      <c r="C27" s="2" t="s">
        <v>500</v>
      </c>
      <c r="D27" s="2"/>
      <c r="E27" s="2"/>
      <c r="F27" s="2"/>
      <c r="G27" s="2"/>
      <c r="H27" s="2"/>
    </row>
    <row r="28" spans="1:8">
      <c r="A28" s="2"/>
      <c r="B28" s="8" t="s">
        <v>501</v>
      </c>
      <c r="C28" s="2" t="s">
        <v>502</v>
      </c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 ht="16.5">
      <c r="A30" s="2"/>
      <c r="B30" s="7" t="s">
        <v>503</v>
      </c>
      <c r="C30" s="2"/>
      <c r="D30" s="2"/>
      <c r="E30" s="2"/>
      <c r="F30" s="2"/>
      <c r="G30" s="2"/>
      <c r="H30" s="2"/>
    </row>
    <row r="31" spans="1:8">
      <c r="A31" s="2"/>
      <c r="B31" s="127" t="s">
        <v>504</v>
      </c>
      <c r="C31" s="128"/>
      <c r="D31" s="128"/>
      <c r="E31" s="128"/>
      <c r="F31" s="128"/>
      <c r="G31" s="2"/>
      <c r="H31" s="2"/>
    </row>
    <row r="32" spans="1:8">
      <c r="A32" s="2"/>
      <c r="B32" s="128"/>
      <c r="C32" s="128"/>
      <c r="D32" s="128"/>
      <c r="E32" s="128"/>
      <c r="F32" s="128"/>
      <c r="G32" s="2"/>
      <c r="H32" s="2"/>
    </row>
    <row r="33" spans="1:8">
      <c r="A33" s="2"/>
      <c r="B33" s="128"/>
      <c r="C33" s="128"/>
      <c r="D33" s="128"/>
      <c r="E33" s="128"/>
      <c r="F33" s="128"/>
      <c r="G33" s="2"/>
      <c r="H33" s="2"/>
    </row>
    <row r="34" spans="1:8">
      <c r="A34" s="2"/>
      <c r="B34" s="128"/>
      <c r="C34" s="128"/>
      <c r="D34" s="128"/>
      <c r="E34" s="128"/>
      <c r="F34" s="128"/>
      <c r="G34" s="2"/>
      <c r="H34" s="2"/>
    </row>
    <row r="35" spans="1:8">
      <c r="A35" s="2"/>
      <c r="B35" s="128"/>
      <c r="C35" s="128"/>
      <c r="D35" s="128"/>
      <c r="E35" s="128"/>
      <c r="F35" s="128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4" t="s">
        <v>505</v>
      </c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sheetProtection formatCells="0" formatColumns="0" formatRows="0" sort="0" autoFilter="0"/>
  <mergeCells count="1">
    <mergeCell ref="B31:F35"/>
  </mergeCells>
  <hyperlinks>
    <hyperlink ref="C7" r:id="rId1" xr:uid="{8A2A87E1-8FF8-4554-8F7D-CAC9642CDD08}"/>
    <hyperlink ref="C8" r:id="rId2" xr:uid="{C3554782-D9F4-48C2-9070-2832A84144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2969-4C54-40AA-AB68-864C5A9AB70B}">
  <sheetPr>
    <tabColor rgb="FFA38A7E"/>
  </sheetPr>
  <dimension ref="A1:H82"/>
  <sheetViews>
    <sheetView tabSelected="1" zoomScale="145" zoomScaleNormal="145" workbookViewId="0">
      <selection activeCell="D9" sqref="D9"/>
    </sheetView>
  </sheetViews>
  <sheetFormatPr defaultColWidth="8.875" defaultRowHeight="19.5"/>
  <cols>
    <col min="1" max="1" width="32.875" style="14" bestFit="1" customWidth="1"/>
    <col min="2" max="2" width="27.375" style="14" bestFit="1" customWidth="1"/>
    <col min="3" max="7" width="15.125" style="14" bestFit="1" customWidth="1"/>
    <col min="8" max="8" width="3.375" style="14" customWidth="1"/>
    <col min="9" max="12" width="14.125" style="14" customWidth="1"/>
    <col min="13" max="16384" width="8.875" style="14"/>
  </cols>
  <sheetData>
    <row r="1" spans="1:8" ht="26.1" customHeight="1">
      <c r="A1" s="123" t="s">
        <v>218</v>
      </c>
      <c r="B1" s="124"/>
      <c r="C1" s="124"/>
      <c r="D1" s="124"/>
      <c r="E1" s="124"/>
      <c r="F1" s="124"/>
      <c r="G1" s="124"/>
      <c r="H1" s="124"/>
    </row>
    <row r="2" spans="1:8" ht="20.25" thickBot="1">
      <c r="A2" s="117" t="s">
        <v>54</v>
      </c>
      <c r="B2" s="37" t="s">
        <v>53</v>
      </c>
      <c r="C2" s="38"/>
      <c r="D2" s="38"/>
      <c r="E2" s="38"/>
      <c r="F2" s="38"/>
      <c r="G2" s="38"/>
      <c r="H2" s="38"/>
    </row>
    <row r="3" spans="1:8" ht="20.25" thickBot="1">
      <c r="A3" s="122" t="s">
        <v>506</v>
      </c>
      <c r="B3" s="39">
        <f ca="1">TODAY()</f>
        <v>46161</v>
      </c>
      <c r="C3" s="38"/>
      <c r="D3" s="38"/>
      <c r="E3" s="38"/>
      <c r="F3" s="38"/>
      <c r="G3" s="38"/>
      <c r="H3" s="38"/>
    </row>
    <row r="4" spans="1:8">
      <c r="A4" s="40" t="s">
        <v>0</v>
      </c>
      <c r="B4" s="11">
        <v>2</v>
      </c>
      <c r="C4" s="38"/>
      <c r="D4" s="38"/>
      <c r="E4" s="38"/>
      <c r="F4" s="38"/>
      <c r="G4" s="38"/>
      <c r="H4" s="38"/>
    </row>
    <row r="5" spans="1:8">
      <c r="A5" s="40" t="s">
        <v>1</v>
      </c>
      <c r="B5" s="41" t="str">
        <f>IFERROR(CHOOSE($B$4,"Bear","Base","Bull"),"INVALID")</f>
        <v>Base</v>
      </c>
      <c r="C5" s="38"/>
      <c r="D5" s="38"/>
      <c r="E5" s="38"/>
      <c r="F5" s="38"/>
      <c r="G5" s="38"/>
      <c r="H5" s="38"/>
    </row>
    <row r="6" spans="1:8">
      <c r="A6" s="38"/>
      <c r="B6" s="38"/>
      <c r="C6" s="38"/>
      <c r="D6" s="38"/>
      <c r="E6" s="38"/>
      <c r="F6" s="38"/>
      <c r="G6" s="38"/>
      <c r="H6" s="38"/>
    </row>
    <row r="7" spans="1:8" ht="24" customHeight="1">
      <c r="A7" s="125" t="s">
        <v>38</v>
      </c>
      <c r="B7" s="125"/>
      <c r="C7" s="125"/>
      <c r="D7" s="125"/>
      <c r="E7" s="125"/>
      <c r="F7" s="125"/>
      <c r="G7" s="125"/>
      <c r="H7" s="125"/>
    </row>
    <row r="8" spans="1:8">
      <c r="A8" s="40" t="s">
        <v>344</v>
      </c>
      <c r="B8" s="43">
        <f>SUM(C58:G58)</f>
        <v>644546718305.06311</v>
      </c>
      <c r="C8" s="38"/>
      <c r="D8" s="38"/>
      <c r="E8" s="38"/>
      <c r="F8" s="38"/>
      <c r="G8" s="38"/>
      <c r="H8" s="38"/>
    </row>
    <row r="9" spans="1:8">
      <c r="A9" s="40" t="s">
        <v>345</v>
      </c>
      <c r="B9" s="43">
        <f>B62</f>
        <v>1874598613702.5962</v>
      </c>
      <c r="C9" s="38"/>
      <c r="D9" s="38"/>
      <c r="E9" s="38"/>
      <c r="F9" s="38"/>
      <c r="G9" s="38"/>
      <c r="H9" s="38"/>
    </row>
    <row r="10" spans="1:8">
      <c r="A10" s="40" t="s">
        <v>346</v>
      </c>
      <c r="B10" s="44">
        <f>B8+B9</f>
        <v>2519145332007.6592</v>
      </c>
      <c r="C10" s="38"/>
      <c r="D10" s="38"/>
      <c r="E10" s="38"/>
      <c r="F10" s="38"/>
      <c r="G10" s="38"/>
      <c r="H10" s="38"/>
    </row>
    <row r="11" spans="1:8">
      <c r="A11" s="40" t="s">
        <v>347</v>
      </c>
      <c r="B11" s="43">
        <f>B22</f>
        <v>54744000000</v>
      </c>
      <c r="C11" s="38"/>
      <c r="D11" s="38"/>
      <c r="E11" s="38"/>
      <c r="F11" s="38"/>
      <c r="G11" s="38"/>
      <c r="H11" s="38"/>
    </row>
    <row r="12" spans="1:8">
      <c r="A12" s="40" t="s">
        <v>348</v>
      </c>
      <c r="B12" s="44">
        <f>B10+B11</f>
        <v>2573889332007.6592</v>
      </c>
      <c r="C12" s="38"/>
      <c r="D12" s="38"/>
      <c r="E12" s="38"/>
      <c r="F12" s="38"/>
      <c r="G12" s="38"/>
      <c r="H12" s="38"/>
    </row>
    <row r="13" spans="1:8">
      <c r="A13" s="40" t="s">
        <v>362</v>
      </c>
      <c r="B13" s="45">
        <f>B20</f>
        <v>15004697000</v>
      </c>
      <c r="C13" s="38"/>
      <c r="D13" s="38"/>
      <c r="E13" s="38"/>
      <c r="F13" s="38"/>
      <c r="G13" s="38"/>
      <c r="H13" s="38"/>
    </row>
    <row r="14" spans="1:8">
      <c r="A14" s="40" t="s">
        <v>39</v>
      </c>
      <c r="B14" s="46">
        <f>IFERROR(B12/B13,0)</f>
        <v>171.53890758391583</v>
      </c>
      <c r="C14" s="38"/>
      <c r="D14" s="38"/>
      <c r="E14" s="38"/>
      <c r="F14" s="38"/>
      <c r="G14" s="38"/>
      <c r="H14" s="38"/>
    </row>
    <row r="15" spans="1:8">
      <c r="A15" s="40" t="s">
        <v>40</v>
      </c>
      <c r="B15" s="47">
        <f>B19</f>
        <v>297.83999999999997</v>
      </c>
      <c r="C15" s="38"/>
      <c r="D15" s="38"/>
      <c r="E15" s="38"/>
      <c r="F15" s="38"/>
      <c r="G15" s="38"/>
      <c r="H15" s="38"/>
    </row>
    <row r="16" spans="1:8">
      <c r="A16" s="40" t="s">
        <v>41</v>
      </c>
      <c r="B16" s="48">
        <f>IFERROR(B14/B15-1,0)</f>
        <v>-0.42405685071207411</v>
      </c>
      <c r="C16" s="38"/>
      <c r="D16" s="38"/>
      <c r="E16" s="38"/>
      <c r="F16" s="38"/>
      <c r="G16" s="38"/>
      <c r="H16" s="38"/>
    </row>
    <row r="17" spans="1:8">
      <c r="A17" s="38"/>
      <c r="B17" s="38"/>
      <c r="C17" s="38"/>
      <c r="D17" s="38"/>
      <c r="E17" s="38"/>
      <c r="F17" s="38"/>
      <c r="G17" s="38"/>
      <c r="H17" s="38"/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40" t="s">
        <v>2</v>
      </c>
      <c r="B19" s="49">
        <f>'Model Inputs'!B25</f>
        <v>297.83999999999997</v>
      </c>
      <c r="C19" s="38"/>
      <c r="D19" s="38"/>
      <c r="E19" s="38"/>
      <c r="F19" s="38"/>
      <c r="G19" s="38"/>
      <c r="H19" s="38"/>
    </row>
    <row r="20" spans="1:8">
      <c r="A20" s="40" t="s">
        <v>362</v>
      </c>
      <c r="B20" s="50">
        <f>'Model Inputs'!B26</f>
        <v>15004697000</v>
      </c>
      <c r="C20" s="38"/>
      <c r="D20" s="38"/>
      <c r="E20" s="38"/>
      <c r="F20" s="38"/>
      <c r="G20" s="38"/>
      <c r="H20" s="38"/>
    </row>
    <row r="21" spans="1:8">
      <c r="A21" s="40" t="s">
        <v>349</v>
      </c>
      <c r="B21" s="51">
        <f>'Model Inputs'!B27</f>
        <v>4400988977520</v>
      </c>
      <c r="C21" s="38"/>
      <c r="D21" s="38"/>
      <c r="E21" s="38"/>
      <c r="F21" s="38"/>
      <c r="G21" s="38"/>
      <c r="H21" s="38"/>
    </row>
    <row r="22" spans="1:8">
      <c r="A22" s="40" t="s">
        <v>350</v>
      </c>
      <c r="B22" s="51">
        <f>'Model Inputs'!B36</f>
        <v>54744000000</v>
      </c>
      <c r="C22" s="38"/>
      <c r="D22" s="38"/>
      <c r="E22" s="38"/>
      <c r="F22" s="38"/>
      <c r="G22" s="38"/>
      <c r="H22" s="38"/>
    </row>
    <row r="23" spans="1:8">
      <c r="A23" s="40" t="s">
        <v>200</v>
      </c>
      <c r="B23" s="52">
        <f>'Model Inputs'!B39</f>
        <v>2025</v>
      </c>
      <c r="C23" s="38"/>
      <c r="D23" s="38"/>
      <c r="E23" s="38"/>
      <c r="F23" s="38"/>
      <c r="G23" s="38"/>
      <c r="H23" s="38"/>
    </row>
    <row r="24" spans="1:8">
      <c r="A24" s="40" t="s">
        <v>219</v>
      </c>
      <c r="B24" s="53" t="str">
        <f>'Model Inputs'!D28</f>
        <v>OK</v>
      </c>
      <c r="C24" s="38"/>
      <c r="D24" s="38"/>
      <c r="E24" s="38"/>
      <c r="F24" s="38"/>
      <c r="G24" s="38"/>
      <c r="H24" s="38"/>
    </row>
    <row r="25" spans="1:8">
      <c r="A25" s="38" t="s">
        <v>351</v>
      </c>
      <c r="B25" s="50">
        <f>'Model Inputs'!B40</f>
        <v>14776353000</v>
      </c>
      <c r="C25" s="38"/>
      <c r="D25" s="38"/>
      <c r="E25" s="38"/>
      <c r="F25" s="38"/>
      <c r="G25" s="38"/>
      <c r="H25" s="38"/>
    </row>
    <row r="26" spans="1:8">
      <c r="A26" s="38"/>
      <c r="B26" s="50"/>
      <c r="C26" s="38"/>
      <c r="D26" s="38"/>
      <c r="E26" s="38"/>
      <c r="F26" s="38"/>
      <c r="G26" s="38"/>
      <c r="H26" s="38"/>
    </row>
    <row r="27" spans="1:8" ht="24" customHeight="1">
      <c r="A27" s="125" t="s">
        <v>220</v>
      </c>
      <c r="B27" s="125"/>
      <c r="C27" s="125"/>
      <c r="D27" s="125"/>
      <c r="E27" s="125"/>
      <c r="F27" s="125"/>
      <c r="G27" s="125"/>
      <c r="H27" s="125"/>
    </row>
    <row r="28" spans="1:8">
      <c r="A28" s="54" t="s">
        <v>3</v>
      </c>
      <c r="B28" s="37" t="s">
        <v>4</v>
      </c>
      <c r="C28" s="37" t="s">
        <v>5</v>
      </c>
      <c r="D28" s="37" t="s">
        <v>6</v>
      </c>
      <c r="E28" s="37" t="s">
        <v>7</v>
      </c>
      <c r="F28" s="37" t="s">
        <v>8</v>
      </c>
      <c r="G28" s="37"/>
      <c r="H28" s="38"/>
    </row>
    <row r="29" spans="1:8">
      <c r="A29" s="40" t="s">
        <v>9</v>
      </c>
      <c r="B29" s="55">
        <f>CHOOSE($B$4,'Model Inputs'!B45,'Model Inputs'!B55,'Model Inputs'!B65)</f>
        <v>0.08</v>
      </c>
      <c r="C29" s="55">
        <f>CHOOSE($B$4,'Model Inputs'!C45,'Model Inputs'!C55,'Model Inputs'!C65)</f>
        <v>0.1</v>
      </c>
      <c r="D29" s="55">
        <f>CHOOSE($B$4,'Model Inputs'!D45,'Model Inputs'!D55,'Model Inputs'!D65)</f>
        <v>0.08</v>
      </c>
      <c r="E29" s="55">
        <f>CHOOSE($B$4,'Model Inputs'!E45,'Model Inputs'!E55,'Model Inputs'!E65)</f>
        <v>0.06</v>
      </c>
      <c r="F29" s="55">
        <f>CHOOSE($B$4,'Model Inputs'!F45,'Model Inputs'!F55,'Model Inputs'!F65)</f>
        <v>0.04</v>
      </c>
      <c r="G29" s="38"/>
      <c r="H29" s="38"/>
    </row>
    <row r="30" spans="1:8">
      <c r="A30" s="40" t="s">
        <v>10</v>
      </c>
      <c r="B30" s="55">
        <f>CHOOSE($B$4,'Model Inputs'!B46,'Model Inputs'!B56,'Model Inputs'!B66)</f>
        <v>0.33970799762591886</v>
      </c>
      <c r="C30" s="55">
        <f>CHOOSE($B$4,'Model Inputs'!C46,'Model Inputs'!C56,'Model Inputs'!C66)</f>
        <v>0.35970799762591882</v>
      </c>
      <c r="D30" s="55">
        <f>CHOOSE($B$4,'Model Inputs'!D46,'Model Inputs'!D56,'Model Inputs'!D66)</f>
        <v>0.37970799762591884</v>
      </c>
      <c r="E30" s="55">
        <f>CHOOSE($B$4,'Model Inputs'!E46,'Model Inputs'!E56,'Model Inputs'!E66)</f>
        <v>0.38970799762591884</v>
      </c>
      <c r="F30" s="55">
        <f>CHOOSE($B$4,'Model Inputs'!F46,'Model Inputs'!F56,'Model Inputs'!F66)</f>
        <v>0.39970799762591885</v>
      </c>
      <c r="G30" s="38"/>
      <c r="H30" s="38"/>
    </row>
    <row r="31" spans="1:8">
      <c r="A31" s="40" t="s">
        <v>11</v>
      </c>
      <c r="B31" s="55">
        <f>CHOOSE($B$4,'Model Inputs'!B47,'Model Inputs'!B57,'Model Inputs'!B67)</f>
        <v>0.15610002335586043</v>
      </c>
      <c r="C31" s="55">
        <f>CHOOSE($B$4,'Model Inputs'!C47,'Model Inputs'!C57,'Model Inputs'!C67)</f>
        <v>0.15610002335586043</v>
      </c>
      <c r="D31" s="55">
        <f>CHOOSE($B$4,'Model Inputs'!D47,'Model Inputs'!D57,'Model Inputs'!D67)</f>
        <v>0.15610002335586043</v>
      </c>
      <c r="E31" s="55">
        <f>CHOOSE($B$4,'Model Inputs'!E47,'Model Inputs'!E57,'Model Inputs'!E67)</f>
        <v>0.15610002335586043</v>
      </c>
      <c r="F31" s="55">
        <f>CHOOSE($B$4,'Model Inputs'!F47,'Model Inputs'!F57,'Model Inputs'!F67)</f>
        <v>0.15610002335586043</v>
      </c>
      <c r="G31" s="38"/>
      <c r="H31" s="38"/>
    </row>
    <row r="32" spans="1:8">
      <c r="A32" s="40" t="s">
        <v>12</v>
      </c>
      <c r="B32" s="55">
        <f>CHOOSE($B$4,'Model Inputs'!B48,'Model Inputs'!B58,'Model Inputs'!B68)</f>
        <v>2.8109313462818475E-2</v>
      </c>
      <c r="C32" s="55">
        <f>CHOOSE($B$4,'Model Inputs'!C48,'Model Inputs'!C58,'Model Inputs'!C68)</f>
        <v>2.8109313462818475E-2</v>
      </c>
      <c r="D32" s="55">
        <f>CHOOSE($B$4,'Model Inputs'!D48,'Model Inputs'!D58,'Model Inputs'!D68)</f>
        <v>2.8109313462818475E-2</v>
      </c>
      <c r="E32" s="55">
        <f>CHOOSE($B$4,'Model Inputs'!E48,'Model Inputs'!E58,'Model Inputs'!E68)</f>
        <v>2.8109313462818475E-2</v>
      </c>
      <c r="F32" s="55">
        <f>CHOOSE($B$4,'Model Inputs'!F48,'Model Inputs'!F58,'Model Inputs'!F68)</f>
        <v>2.8109313462818475E-2</v>
      </c>
      <c r="G32" s="38"/>
      <c r="H32" s="38"/>
    </row>
    <row r="33" spans="1:8">
      <c r="A33" s="40" t="s">
        <v>13</v>
      </c>
      <c r="B33" s="55">
        <f>CHOOSE($B$4,'Model Inputs'!B49,'Model Inputs'!B59,'Model Inputs'!B69)</f>
        <v>3.0553079216937677E-2</v>
      </c>
      <c r="C33" s="55">
        <f>CHOOSE($B$4,'Model Inputs'!C49,'Model Inputs'!C59,'Model Inputs'!C69)</f>
        <v>3.0553079216937677E-2</v>
      </c>
      <c r="D33" s="55">
        <f>CHOOSE($B$4,'Model Inputs'!D49,'Model Inputs'!D59,'Model Inputs'!D69)</f>
        <v>3.0553079216937677E-2</v>
      </c>
      <c r="E33" s="55">
        <f>CHOOSE($B$4,'Model Inputs'!E49,'Model Inputs'!E59,'Model Inputs'!E69)</f>
        <v>3.0553079216937677E-2</v>
      </c>
      <c r="F33" s="55">
        <f>CHOOSE($B$4,'Model Inputs'!F49,'Model Inputs'!F59,'Model Inputs'!F69)</f>
        <v>3.0553079216937677E-2</v>
      </c>
      <c r="G33" s="38"/>
      <c r="H33" s="38"/>
    </row>
    <row r="34" spans="1:8">
      <c r="A34" s="40" t="s">
        <v>204</v>
      </c>
      <c r="B34" s="55">
        <f>CHOOSE($B$4,'Model Inputs'!B50,'Model Inputs'!B60,'Model Inputs'!B70)</f>
        <v>0.03</v>
      </c>
      <c r="C34" s="55">
        <f>CHOOSE($B$4,'Model Inputs'!C50,'Model Inputs'!C60,'Model Inputs'!C70)</f>
        <v>0.03</v>
      </c>
      <c r="D34" s="55">
        <f>CHOOSE($B$4,'Model Inputs'!D50,'Model Inputs'!D60,'Model Inputs'!D70)</f>
        <v>0.03</v>
      </c>
      <c r="E34" s="55">
        <f>CHOOSE($B$4,'Model Inputs'!E50,'Model Inputs'!E60,'Model Inputs'!E70)</f>
        <v>0.03</v>
      </c>
      <c r="F34" s="55">
        <f>CHOOSE($B$4,'Model Inputs'!F50,'Model Inputs'!F60,'Model Inputs'!F70)</f>
        <v>0.03</v>
      </c>
      <c r="G34" s="38"/>
      <c r="H34" s="38"/>
    </row>
    <row r="35" spans="1:8">
      <c r="A35" s="40" t="s">
        <v>14</v>
      </c>
      <c r="B35" s="55">
        <f>CHOOSE($B$4,'Model Inputs'!B51,'Model Inputs'!B61,'Model Inputs'!B71)</f>
        <v>0.03</v>
      </c>
      <c r="C35" s="55"/>
      <c r="D35" s="55"/>
      <c r="E35" s="55"/>
      <c r="F35" s="55"/>
      <c r="G35" s="38"/>
      <c r="H35" s="38"/>
    </row>
    <row r="36" spans="1:8">
      <c r="A36" s="40" t="s">
        <v>15</v>
      </c>
      <c r="B36" s="55">
        <f>CHOOSE($B$4,'Model Inputs'!B52,'Model Inputs'!B62,'Model Inputs'!B72)</f>
        <v>9.7716645718558356E-2</v>
      </c>
      <c r="C36" s="55"/>
      <c r="D36" s="55"/>
      <c r="E36" s="55"/>
      <c r="F36" s="55"/>
      <c r="G36" s="38"/>
      <c r="H36" s="38"/>
    </row>
    <row r="37" spans="1:8">
      <c r="A37" s="38"/>
      <c r="B37" s="38"/>
      <c r="C37" s="38"/>
      <c r="D37" s="38"/>
      <c r="E37" s="38"/>
      <c r="F37" s="38"/>
      <c r="G37" s="38"/>
      <c r="H37" s="38"/>
    </row>
    <row r="38" spans="1:8">
      <c r="A38" s="38"/>
      <c r="B38" s="38"/>
      <c r="C38" s="38"/>
      <c r="D38" s="38"/>
      <c r="E38" s="38"/>
      <c r="F38" s="38"/>
      <c r="G38" s="38"/>
      <c r="H38" s="38"/>
    </row>
    <row r="39" spans="1:8" ht="24" customHeight="1">
      <c r="A39" s="125" t="s">
        <v>352</v>
      </c>
      <c r="B39" s="125"/>
      <c r="C39" s="125"/>
      <c r="D39" s="125"/>
      <c r="E39" s="125"/>
      <c r="F39" s="125"/>
      <c r="G39" s="125"/>
      <c r="H39" s="125"/>
    </row>
    <row r="40" spans="1:8">
      <c r="A40" s="54" t="s">
        <v>353</v>
      </c>
      <c r="B40" s="37" t="s">
        <v>221</v>
      </c>
      <c r="C40" s="37" t="s">
        <v>16</v>
      </c>
      <c r="D40" s="37" t="s">
        <v>17</v>
      </c>
      <c r="E40" s="37" t="s">
        <v>18</v>
      </c>
      <c r="F40" s="37" t="s">
        <v>19</v>
      </c>
      <c r="G40" s="37" t="s">
        <v>20</v>
      </c>
      <c r="H40" s="38"/>
    </row>
    <row r="41" spans="1:8">
      <c r="A41" s="40" t="s">
        <v>21</v>
      </c>
      <c r="B41" s="51">
        <f>'Model Inputs'!B28</f>
        <v>416161000000</v>
      </c>
      <c r="C41" s="51">
        <f>B41*(1+B29)</f>
        <v>449453880000</v>
      </c>
      <c r="D41" s="51">
        <f>C41*(1+C29)</f>
        <v>494399268000.00006</v>
      </c>
      <c r="E41" s="51">
        <f>D41*(1+D29)</f>
        <v>533951209440.00012</v>
      </c>
      <c r="F41" s="51">
        <f>E41*(1+E29)</f>
        <v>565988282006.40015</v>
      </c>
      <c r="G41" s="51">
        <f>F41*(1+F29)</f>
        <v>588627813286.65613</v>
      </c>
      <c r="H41" s="38"/>
    </row>
    <row r="42" spans="1:8">
      <c r="A42" s="56" t="s">
        <v>22</v>
      </c>
      <c r="B42" s="57"/>
      <c r="C42" s="58">
        <f>C41/B41-1</f>
        <v>8.0000000000000071E-2</v>
      </c>
      <c r="D42" s="58">
        <f>D41/C41-1</f>
        <v>0.10000000000000009</v>
      </c>
      <c r="E42" s="58">
        <f>E41/D41-1</f>
        <v>8.0000000000000071E-2</v>
      </c>
      <c r="F42" s="58">
        <f>F41/E41-1</f>
        <v>6.0000000000000053E-2</v>
      </c>
      <c r="G42" s="58">
        <f>G41/F41-1</f>
        <v>4.0000000000000036E-2</v>
      </c>
      <c r="H42" s="38"/>
    </row>
    <row r="43" spans="1:8">
      <c r="A43" s="40" t="s">
        <v>23</v>
      </c>
      <c r="B43" s="51">
        <f>'Model Inputs'!B29</f>
        <v>133050000000</v>
      </c>
      <c r="C43" s="51">
        <f>C41*B30</f>
        <v>152683077600.00003</v>
      </c>
      <c r="D43" s="51">
        <f>D41*C30</f>
        <v>177839370720.00003</v>
      </c>
      <c r="E43" s="51">
        <f>E41*D30</f>
        <v>202745544566.40005</v>
      </c>
      <c r="F43" s="51">
        <f>F41*E30</f>
        <v>220570160060.44806</v>
      </c>
      <c r="G43" s="51">
        <f>G41*F30</f>
        <v>235279244595.73254</v>
      </c>
      <c r="H43" s="38"/>
    </row>
    <row r="44" spans="1:8">
      <c r="A44" s="56" t="s">
        <v>24</v>
      </c>
      <c r="B44" s="58">
        <f t="shared" ref="B44:G44" si="0">B43/B41</f>
        <v>0.31970799762591884</v>
      </c>
      <c r="C44" s="58">
        <f t="shared" si="0"/>
        <v>0.33970799762591886</v>
      </c>
      <c r="D44" s="58">
        <f t="shared" si="0"/>
        <v>0.35970799762591882</v>
      </c>
      <c r="E44" s="58">
        <f t="shared" si="0"/>
        <v>0.37970799762591884</v>
      </c>
      <c r="F44" s="58">
        <f t="shared" si="0"/>
        <v>0.38970799762591884</v>
      </c>
      <c r="G44" s="58">
        <f t="shared" si="0"/>
        <v>0.39970799762591885</v>
      </c>
      <c r="H44" s="38"/>
    </row>
    <row r="45" spans="1:8">
      <c r="A45" s="40" t="s">
        <v>25</v>
      </c>
      <c r="B45" s="51"/>
      <c r="C45" s="51">
        <f>-C43*B31</f>
        <v>-23833831979.404655</v>
      </c>
      <c r="D45" s="51">
        <f>-D43*C31</f>
        <v>-27760729922.983524</v>
      </c>
      <c r="E45" s="51">
        <f>-E43*D31</f>
        <v>-31648584242.111691</v>
      </c>
      <c r="F45" s="51">
        <f>-F43*E31</f>
        <v>-34431007137.041817</v>
      </c>
      <c r="G45" s="51">
        <f>-G43*F31</f>
        <v>-36727095576.543045</v>
      </c>
      <c r="H45" s="38"/>
    </row>
    <row r="46" spans="1:8">
      <c r="A46" s="40" t="s">
        <v>26</v>
      </c>
      <c r="B46" s="59"/>
      <c r="C46" s="59">
        <f>C43+C45</f>
        <v>128849245620.59537</v>
      </c>
      <c r="D46" s="59">
        <f>D43+D45</f>
        <v>150078640797.01651</v>
      </c>
      <c r="E46" s="59">
        <f>E43+E45</f>
        <v>171096960324.28836</v>
      </c>
      <c r="F46" s="59">
        <f>F43+F45</f>
        <v>186139152923.40625</v>
      </c>
      <c r="G46" s="59">
        <f>G43+G45</f>
        <v>198552149019.18951</v>
      </c>
      <c r="H46" s="38"/>
    </row>
    <row r="47" spans="1:8">
      <c r="A47" s="40" t="s">
        <v>27</v>
      </c>
      <c r="B47" s="51"/>
      <c r="C47" s="51">
        <f>C41*B32</f>
        <v>12633840000</v>
      </c>
      <c r="D47" s="51">
        <f>D41*C32</f>
        <v>13897224000</v>
      </c>
      <c r="E47" s="51">
        <f>E41*D32</f>
        <v>15009001920.000002</v>
      </c>
      <c r="F47" s="51">
        <f>F41*E32</f>
        <v>15909542035.200003</v>
      </c>
      <c r="G47" s="51">
        <f>G41*F32</f>
        <v>16545923716.608002</v>
      </c>
      <c r="H47" s="38"/>
    </row>
    <row r="48" spans="1:8">
      <c r="A48" s="40" t="s">
        <v>28</v>
      </c>
      <c r="B48" s="51"/>
      <c r="C48" s="51">
        <f>-C41*B33</f>
        <v>-13732200000</v>
      </c>
      <c r="D48" s="51">
        <f>-D41*C33</f>
        <v>-15105420000.000002</v>
      </c>
      <c r="E48" s="51">
        <f>-E41*D33</f>
        <v>-16313853600.000004</v>
      </c>
      <c r="F48" s="51">
        <f>-F41*E33</f>
        <v>-17292684816.000004</v>
      </c>
      <c r="G48" s="51">
        <f>-G41*F33</f>
        <v>-17984392208.640003</v>
      </c>
      <c r="H48" s="38"/>
    </row>
    <row r="49" spans="1:8">
      <c r="A49" s="40" t="s">
        <v>222</v>
      </c>
      <c r="B49" s="51"/>
      <c r="C49" s="51">
        <f>-(C41-B41)*B34</f>
        <v>-998786400</v>
      </c>
      <c r="D49" s="51">
        <f>-(D41-C41)*C34</f>
        <v>-1348361640.0000017</v>
      </c>
      <c r="E49" s="51">
        <f>-(E41-D41)*D34</f>
        <v>-1186558243.2000017</v>
      </c>
      <c r="F49" s="51">
        <f>-(F41-E41)*E34</f>
        <v>-961112176.9920007</v>
      </c>
      <c r="G49" s="51">
        <f>-(G41-F41)*F34</f>
        <v>-679185938.40767944</v>
      </c>
      <c r="H49" s="38"/>
    </row>
    <row r="50" spans="1:8">
      <c r="A50" s="40" t="s">
        <v>29</v>
      </c>
      <c r="B50" s="59"/>
      <c r="C50" s="59">
        <f>C46+C47+C48+C49</f>
        <v>126752099220.59537</v>
      </c>
      <c r="D50" s="59">
        <f>D46+D47+D48+D49</f>
        <v>147522083157.01651</v>
      </c>
      <c r="E50" s="59">
        <f>E46+E47+E48+E49</f>
        <v>168605550401.08835</v>
      </c>
      <c r="F50" s="59">
        <f>F46+F47+F48+F49</f>
        <v>183794897965.61426</v>
      </c>
      <c r="G50" s="59">
        <f>G46+G47+G48+G49</f>
        <v>196434494588.74982</v>
      </c>
      <c r="H50" s="38"/>
    </row>
    <row r="51" spans="1:8">
      <c r="A51" s="38"/>
      <c r="B51" s="38"/>
      <c r="C51" s="38"/>
      <c r="D51" s="38"/>
      <c r="E51" s="38"/>
      <c r="F51" s="38"/>
      <c r="G51" s="38"/>
      <c r="H51" s="38"/>
    </row>
    <row r="52" spans="1:8" ht="24" customHeight="1">
      <c r="A52" s="125" t="s">
        <v>30</v>
      </c>
      <c r="B52" s="125"/>
      <c r="C52" s="125"/>
      <c r="D52" s="125"/>
      <c r="E52" s="125"/>
      <c r="F52" s="125"/>
      <c r="G52" s="125"/>
      <c r="H52" s="125"/>
    </row>
    <row r="53" spans="1:8">
      <c r="A53" s="40" t="s">
        <v>31</v>
      </c>
      <c r="B53" s="60">
        <f>B36</f>
        <v>9.7716645718558356E-2</v>
      </c>
      <c r="C53" s="38"/>
      <c r="D53" s="38"/>
      <c r="E53" s="38"/>
      <c r="F53" s="38"/>
      <c r="G53" s="38"/>
      <c r="H53" s="38"/>
    </row>
    <row r="54" spans="1:8">
      <c r="A54" s="40" t="s">
        <v>32</v>
      </c>
      <c r="B54" s="60">
        <f>B35</f>
        <v>0.03</v>
      </c>
      <c r="C54" s="38"/>
      <c r="D54" s="38"/>
      <c r="E54" s="38"/>
      <c r="F54" s="38"/>
      <c r="G54" s="38"/>
      <c r="H54" s="38"/>
    </row>
    <row r="55" spans="1:8">
      <c r="A55" s="40" t="s">
        <v>241</v>
      </c>
      <c r="B55" s="61" t="str">
        <f>'Model Inputs'!B22</f>
        <v>Year-End</v>
      </c>
      <c r="C55" s="38"/>
      <c r="D55" s="38"/>
      <c r="E55" s="38"/>
      <c r="F55" s="38"/>
      <c r="G55" s="38"/>
      <c r="H55" s="38"/>
    </row>
    <row r="56" spans="1:8">
      <c r="A56" s="40" t="s">
        <v>33</v>
      </c>
      <c r="B56" s="38"/>
      <c r="C56" s="62">
        <f>0.5</f>
        <v>0.5</v>
      </c>
      <c r="D56" s="62">
        <f>1.5</f>
        <v>1.5</v>
      </c>
      <c r="E56" s="62">
        <f>2.5</f>
        <v>2.5</v>
      </c>
      <c r="F56" s="62">
        <f>3.5</f>
        <v>3.5</v>
      </c>
      <c r="G56" s="62">
        <f>4.5</f>
        <v>4.5</v>
      </c>
      <c r="H56" s="38"/>
    </row>
    <row r="57" spans="1:8">
      <c r="A57" s="40" t="s">
        <v>34</v>
      </c>
      <c r="B57" s="38"/>
      <c r="C57" s="63">
        <f>1/(1+$B$53)^C56</f>
        <v>0.95445372021280916</v>
      </c>
      <c r="D57" s="63">
        <f>1/(1+$B$53)^D56</f>
        <v>0.86949006734614087</v>
      </c>
      <c r="E57" s="63">
        <f>1/(1+$B$53)^E56</f>
        <v>0.79208971708448328</v>
      </c>
      <c r="F57" s="63">
        <f>1/(1+$B$53)^F56</f>
        <v>0.72157939863067888</v>
      </c>
      <c r="G57" s="63">
        <f>1/(1+$B$53)^G56</f>
        <v>0.65734577447200648</v>
      </c>
      <c r="H57" s="38"/>
    </row>
    <row r="58" spans="1:8">
      <c r="A58" s="40" t="s">
        <v>35</v>
      </c>
      <c r="B58" s="64"/>
      <c r="C58" s="59">
        <f>C50*C57</f>
        <v>120979012645.88036</v>
      </c>
      <c r="D58" s="59">
        <f>D50*D57</f>
        <v>128268986019.23727</v>
      </c>
      <c r="E58" s="59">
        <f>E50*E57</f>
        <v>133550722716.07166</v>
      </c>
      <c r="F58" s="59">
        <f>F50*F57</f>
        <v>132622611945.41492</v>
      </c>
      <c r="G58" s="59">
        <f>G50*G57</f>
        <v>129125384978.45891</v>
      </c>
      <c r="H58" s="38"/>
    </row>
    <row r="59" spans="1:8">
      <c r="A59" s="40"/>
      <c r="B59" s="38"/>
      <c r="C59" s="38"/>
      <c r="D59" s="38"/>
      <c r="E59" s="38"/>
      <c r="F59" s="38"/>
      <c r="G59" s="38"/>
      <c r="H59" s="38"/>
    </row>
    <row r="60" spans="1:8">
      <c r="A60" s="40" t="s">
        <v>223</v>
      </c>
      <c r="B60" s="51">
        <f>G50*(1+B54)</f>
        <v>202327529426.41232</v>
      </c>
      <c r="C60" s="38"/>
      <c r="D60" s="38"/>
      <c r="E60" s="38"/>
      <c r="F60" s="38"/>
      <c r="G60" s="38"/>
      <c r="H60" s="38"/>
    </row>
    <row r="61" spans="1:8">
      <c r="A61" s="40" t="s">
        <v>36</v>
      </c>
      <c r="B61" s="51">
        <f>IF(B53&lt;=B54,NA(),B60/(B53-B54))</f>
        <v>2987855161452.0186</v>
      </c>
      <c r="C61" s="38"/>
      <c r="D61" s="38"/>
      <c r="E61" s="38"/>
      <c r="F61" s="38"/>
      <c r="G61" s="38"/>
      <c r="H61" s="38"/>
    </row>
    <row r="62" spans="1:8">
      <c r="A62" s="40" t="s">
        <v>37</v>
      </c>
      <c r="B62" s="59">
        <f>IF('Model Inputs'!$B$22="Year-End",B61/(1+B53)^5,B61*G57)</f>
        <v>1874598613702.5962</v>
      </c>
      <c r="C62" s="38"/>
      <c r="D62" s="38"/>
      <c r="E62" s="38"/>
      <c r="F62" s="38"/>
      <c r="G62" s="38"/>
      <c r="H62" s="38"/>
    </row>
    <row r="63" spans="1:8">
      <c r="A63" s="38"/>
      <c r="B63" s="38"/>
      <c r="C63" s="38"/>
      <c r="D63" s="38"/>
      <c r="E63" s="38"/>
      <c r="F63" s="38"/>
      <c r="G63" s="38"/>
      <c r="H63" s="38"/>
    </row>
    <row r="64" spans="1:8">
      <c r="A64" s="38"/>
      <c r="B64" s="38"/>
      <c r="C64" s="38"/>
      <c r="D64" s="38"/>
      <c r="E64" s="38"/>
      <c r="F64" s="38"/>
      <c r="G64" s="38"/>
      <c r="H64" s="38"/>
    </row>
    <row r="65" spans="1:8" ht="24" customHeight="1">
      <c r="A65" s="125" t="s">
        <v>224</v>
      </c>
      <c r="B65" s="125"/>
      <c r="C65" s="125"/>
      <c r="D65" s="125"/>
      <c r="E65" s="125"/>
      <c r="F65" s="125"/>
      <c r="G65" s="125"/>
      <c r="H65" s="125"/>
    </row>
    <row r="66" spans="1:8">
      <c r="A66" s="38"/>
      <c r="B66" s="38"/>
      <c r="C66" s="38"/>
      <c r="D66" s="38"/>
      <c r="E66" s="38"/>
      <c r="F66" s="38"/>
      <c r="G66" s="38"/>
      <c r="H66" s="38"/>
    </row>
    <row r="67" spans="1:8">
      <c r="A67" s="65" t="s">
        <v>225</v>
      </c>
      <c r="B67" s="66">
        <f>$B$54-0.01</f>
        <v>1.9999999999999997E-2</v>
      </c>
      <c r="C67" s="66">
        <f>$B$54-0.005</f>
        <v>2.4999999999999998E-2</v>
      </c>
      <c r="D67" s="66">
        <f>$B$54</f>
        <v>0.03</v>
      </c>
      <c r="E67" s="66">
        <f>$B$54+0.005</f>
        <v>3.4999999999999996E-2</v>
      </c>
      <c r="F67" s="66">
        <f>$B$54+0.01</f>
        <v>0.04</v>
      </c>
      <c r="G67" s="38"/>
      <c r="H67" s="38"/>
    </row>
    <row r="68" spans="1:8">
      <c r="A68" s="67">
        <f>$B$53-0.01</f>
        <v>8.7716645718558361E-2</v>
      </c>
      <c r="B68" s="68" cm="1">
        <f t="array" ref="B68">IF($A68&lt;=B$67,NA(),((SUMPRODUCT($C$50:$G$50,1/(1+$A68)^$C$56:$G$56)+($G$50*(1+B$67)/($A68-B$67))*IF('Model Inputs'!$B$22="Year-End",1/(1+$A68)^5,1/(1+$A68)^$G$56))-$B$22)/$B$20)</f>
        <v>169.83238293027796</v>
      </c>
      <c r="C68" s="68" cm="1">
        <f t="array" ref="C68">IF($A68&lt;=C$67,NA(),((SUMPRODUCT($C$50:$G$50,1/(1+$A68)^$C$56:$G$56)+($G$50*(1+C$67)/($A68-C$67))*IF('Model Inputs'!$B$22="Year-End",1/(1+$A68)^5,1/(1+$A68)^$G$56))-$B$22)/$B$20)</f>
        <v>180.84319039993969</v>
      </c>
      <c r="D68" s="68" cm="1">
        <f t="array" ref="D68">IF($A68&lt;=D$67,NA(),((SUMPRODUCT($C$50:$G$50,1/(1+$A68)^$C$56:$G$56)+($G$50*(1+D$67)/($A68-D$67))*IF('Model Inputs'!$B$22="Year-End",1/(1+$A68)^5,1/(1+$A68)^$G$56))-$B$22)/$B$20)</f>
        <v>193.76173303552795</v>
      </c>
      <c r="E68" s="68" cm="1">
        <f t="array" ref="E68">IF($A68&lt;=E$67,NA(),((SUMPRODUCT($C$50:$G$50,1/(1+$A68)^$C$56:$G$56)+($G$50*(1+E$67)/($A68-E$67))*IF('Model Inputs'!$B$22="Year-End",1/(1+$A68)^5,1/(1+$A68)^$G$56))-$B$22)/$B$20)</f>
        <v>209.13083800479674</v>
      </c>
      <c r="F68" s="68" cm="1">
        <f t="array" ref="F68">IF($A68&lt;=F$67,NA(),((SUMPRODUCT($C$50:$G$50,1/(1+$A68)^$C$56:$G$56)+($G$50*(1+F$67)/($A68-F$67))*IF('Model Inputs'!$B$22="Year-End",1/(1+$A68)^5,1/(1+$A68)^$G$56))-$B$22)/$B$20)</f>
        <v>227.72085356780656</v>
      </c>
      <c r="G68" s="38"/>
      <c r="H68" s="38"/>
    </row>
    <row r="69" spans="1:8">
      <c r="A69" s="67">
        <f>$B$53-0.005</f>
        <v>9.2716645718558352E-2</v>
      </c>
      <c r="B69" s="68" cm="1">
        <f t="array" ref="B69">IF($A69&lt;=B$67,NA(),((SUMPRODUCT($C$50:$G$50,1/(1+$A69)^$C$56:$G$56)+($G$50*(1+B$67)/($A69-B$67))*IF('Model Inputs'!$B$22="Year-End",1/(1+$A69)^5,1/(1+$A69)^$G$56))-$B$22)/$B$20)</f>
        <v>157.68247704480493</v>
      </c>
      <c r="C69" s="68" cm="1">
        <f t="array" ref="C69">IF($A69&lt;=C$67,NA(),((SUMPRODUCT($C$50:$G$50,1/(1+$A69)^$C$56:$G$56)+($G$50*(1+C$67)/($A69-C$67))*IF('Model Inputs'!$B$22="Year-End",1/(1+$A69)^5,1/(1+$A69)^$G$56))-$B$22)/$B$20)</f>
        <v>167.00645026876745</v>
      </c>
      <c r="D69" s="68" cm="1">
        <f t="array" ref="D69">IF($A69&lt;=D$67,NA(),((SUMPRODUCT($C$50:$G$50,1/(1+$A69)^$C$56:$G$56)+($G$50*(1+D$67)/($A69-D$67))*IF('Model Inputs'!$B$22="Year-End",1/(1+$A69)^5,1/(1+$A69)^$G$56))-$B$22)/$B$20)</f>
        <v>177.81710587459784</v>
      </c>
      <c r="E69" s="68" cm="1">
        <f t="array" ref="E69">IF($A69&lt;=E$67,NA(),((SUMPRODUCT($C$50:$G$50,1/(1+$A69)^$C$56:$G$56)+($G$50*(1+E$67)/($A69-E$67))*IF('Model Inputs'!$B$22="Year-End",1/(1+$A69)^5,1/(1+$A69)^$G$56))-$B$22)/$B$20)</f>
        <v>190.50081828600659</v>
      </c>
      <c r="F69" s="68" cm="1">
        <f t="array" ref="F69">IF($A69&lt;=F$67,NA(),((SUMPRODUCT($C$50:$G$50,1/(1+$A69)^$C$56:$G$56)+($G$50*(1+F$67)/($A69-F$67))*IF('Model Inputs'!$B$22="Year-End",1/(1+$A69)^5,1/(1+$A69)^$G$56))-$B$22)/$B$20)</f>
        <v>205.59054728639268</v>
      </c>
      <c r="G69" s="38"/>
      <c r="H69" s="38"/>
    </row>
    <row r="70" spans="1:8">
      <c r="A70" s="67">
        <f>$B$53</f>
        <v>9.7716645718558356E-2</v>
      </c>
      <c r="B70" s="68" cm="1">
        <f t="array" ref="B70">IF($A70&lt;=B$67,NA(),((SUMPRODUCT($C$50:$G$50,1/(1+$A70)^$C$56:$G$56)+($G$50*(1+B$67)/($A70-B$67))*IF('Model Inputs'!$B$22="Year-End",1/(1+$A70)^5,1/(1+$A70)^$G$56))-$B$22)/$B$20)</f>
        <v>147.10952017078444</v>
      </c>
      <c r="C70" s="68" cm="1">
        <f t="array" ref="C70">IF($A70&lt;=C$67,NA(),((SUMPRODUCT($C$50:$G$50,1/(1+$A70)^$C$56:$G$56)+($G$50*(1+C$67)/($A70-C$67))*IF('Model Inputs'!$B$22="Year-End",1/(1+$A70)^5,1/(1+$A70)^$G$56))-$B$22)/$B$20)</f>
        <v>155.08674152735674</v>
      </c>
      <c r="D70" s="69" cm="1">
        <f t="array" ref="D70">IF($A70&lt;=D$67,NA(),((SUMPRODUCT($C$50:$G$50,1/(1+$A70)^$C$56:$G$56)+($G$50*(1+D$67)/($A70-D$67))*IF('Model Inputs'!$B$22="Year-End",1/(1+$A70)^5,1/(1+$A70)^$G$56))-$B$22)/$B$20)</f>
        <v>164.24199249126184</v>
      </c>
      <c r="E70" s="68" cm="1">
        <f t="array" ref="E70">IF($A70&lt;=E$67,NA(),((SUMPRODUCT($C$50:$G$50,1/(1+$A70)^$C$56:$G$56)+($G$50*(1+E$67)/($A70-E$67))*IF('Model Inputs'!$B$22="Year-End",1/(1+$A70)^5,1/(1+$A70)^$G$56))-$B$22)/$B$20)</f>
        <v>174.85702352774751</v>
      </c>
      <c r="F70" s="68" cm="1">
        <f t="array" ref="F70">IF($A70&lt;=F$67,NA(),((SUMPRODUCT($C$50:$G$50,1/(1+$A70)^$C$56:$G$56)+($G$50*(1+F$67)/($A70-F$67))*IF('Model Inputs'!$B$22="Year-End",1/(1+$A70)^5,1/(1+$A70)^$G$56))-$B$22)/$B$20)</f>
        <v>187.31121740960154</v>
      </c>
      <c r="G70" s="38"/>
      <c r="H70" s="38"/>
    </row>
    <row r="71" spans="1:8">
      <c r="A71" s="67">
        <f>$B$53+0.005</f>
        <v>0.10271664571855836</v>
      </c>
      <c r="B71" s="68" cm="1">
        <f t="array" ref="B71">IF($A71&lt;=B$67,NA(),((SUMPRODUCT($C$50:$G$50,1/(1+$A71)^$C$56:$G$56)+($G$50*(1+B$67)/($A71-B$67))*IF('Model Inputs'!$B$22="Year-End",1/(1+$A71)^5,1/(1+$A71)^$G$56))-$B$22)/$B$20)</f>
        <v>137.82705291199323</v>
      </c>
      <c r="C71" s="68" cm="1">
        <f t="array" ref="C71">IF($A71&lt;=C$67,NA(),((SUMPRODUCT($C$50:$G$50,1/(1+$A71)^$C$56:$G$56)+($G$50*(1+C$67)/($A71-C$67))*IF('Model Inputs'!$B$22="Year-End",1/(1+$A71)^5,1/(1+$A71)^$G$56))-$B$22)/$B$20)</f>
        <v>144.71354168684425</v>
      </c>
      <c r="D71" s="68" cm="1">
        <f t="array" ref="D71">IF($A71&lt;=D$67,NA(),((SUMPRODUCT($C$50:$G$50,1/(1+$A71)^$C$56:$G$56)+($G$50*(1+D$67)/($A71-D$67))*IF('Model Inputs'!$B$22="Year-End",1/(1+$A71)^5,1/(1+$A71)^$G$56))-$B$22)/$B$20)</f>
        <v>152.54706104964407</v>
      </c>
      <c r="E71" s="68" cm="1">
        <f t="array" ref="E71">IF($A71&lt;=E$67,NA(),((SUMPRODUCT($C$50:$G$50,1/(1+$A71)^$C$56:$G$56)+($G$50*(1+E$67)/($A71-E$67))*IF('Model Inputs'!$B$22="Year-End",1/(1+$A71)^5,1/(1+$A71)^$G$56))-$B$22)/$B$20)</f>
        <v>161.53738894595526</v>
      </c>
      <c r="F71" s="68" cm="1">
        <f t="array" ref="F71">IF($A71&lt;=F$67,NA(),((SUMPRODUCT($C$50:$G$50,1/(1+$A71)^$C$56:$G$56)+($G$50*(1+F$67)/($A71-F$67))*IF('Model Inputs'!$B$22="Year-End",1/(1+$A71)^5,1/(1+$A71)^$G$56))-$B$22)/$B$20)</f>
        <v>171.96120037655109</v>
      </c>
      <c r="G71" s="38"/>
      <c r="H71" s="38"/>
    </row>
    <row r="72" spans="1:8">
      <c r="A72" s="67">
        <f>$B$53+0.01</f>
        <v>0.10771664571855835</v>
      </c>
      <c r="B72" s="68" cm="1">
        <f t="array" ref="B72">IF($A72&lt;=B$67,NA(),((SUMPRODUCT($C$50:$G$50,1/(1+$A72)^$C$56:$G$56)+($G$50*(1+B$67)/($A72-B$67))*IF('Model Inputs'!$B$22="Year-End",1/(1+$A72)^5,1/(1+$A72)^$G$56))-$B$22)/$B$20)</f>
        <v>129.61394984936643</v>
      </c>
      <c r="C72" s="68" cm="1">
        <f t="array" ref="C72">IF($A72&lt;=C$67,NA(),((SUMPRODUCT($C$50:$G$50,1/(1+$A72)^$C$56:$G$56)+($G$50*(1+C$67)/($A72-C$67))*IF('Model Inputs'!$B$22="Year-End",1/(1+$A72)^5,1/(1+$A72)^$G$56))-$B$22)/$B$20)</f>
        <v>135.60593695087729</v>
      </c>
      <c r="D72" s="68" cm="1">
        <f t="array" ref="D72">IF($A72&lt;=D$67,NA(),((SUMPRODUCT($C$50:$G$50,1/(1+$A72)^$C$56:$G$56)+($G$50*(1+D$67)/($A72-D$67))*IF('Model Inputs'!$B$22="Year-End",1/(1+$A72)^5,1/(1+$A72)^$G$56))-$B$22)/$B$20)</f>
        <v>142.36892839079078</v>
      </c>
      <c r="E72" s="68" cm="1">
        <f t="array" ref="E72">IF($A72&lt;=E$67,NA(),((SUMPRODUCT($C$50:$G$50,1/(1+$A72)^$C$56:$G$56)+($G$50*(1+E$67)/($A72-E$67))*IF('Model Inputs'!$B$22="Year-End",1/(1+$A72)^5,1/(1+$A72)^$G$56))-$B$22)/$B$20)</f>
        <v>150.06196705346656</v>
      </c>
      <c r="F72" s="68" cm="1">
        <f t="array" ref="F72">IF($A72&lt;=F$67,NA(),((SUMPRODUCT($C$50:$G$50,1/(1+$A72)^$C$56:$G$56)+($G$50*(1+F$67)/($A72-F$67))*IF('Model Inputs'!$B$22="Year-End",1/(1+$A72)^5,1/(1+$A72)^$G$56))-$B$22)/$B$20)</f>
        <v>158.89106887772439</v>
      </c>
      <c r="G72" s="38"/>
      <c r="H72" s="38"/>
    </row>
    <row r="73" spans="1:8">
      <c r="A73" s="70"/>
      <c r="B73" s="70"/>
      <c r="C73" s="70"/>
      <c r="D73" s="70"/>
      <c r="E73" s="70"/>
      <c r="F73" s="70"/>
      <c r="G73" s="38"/>
      <c r="H73" s="38"/>
    </row>
    <row r="74" spans="1:8">
      <c r="A74" s="70"/>
      <c r="B74" s="70"/>
      <c r="C74" s="70"/>
      <c r="D74" s="70"/>
      <c r="E74" s="70"/>
      <c r="F74" s="70"/>
      <c r="G74" s="38"/>
      <c r="H74" s="38"/>
    </row>
    <row r="75" spans="1:8" ht="24" customHeight="1">
      <c r="A75" s="126" t="s">
        <v>226</v>
      </c>
      <c r="B75" s="126"/>
      <c r="C75" s="126"/>
      <c r="D75" s="126"/>
      <c r="E75" s="126"/>
      <c r="F75" s="126"/>
      <c r="G75" s="126"/>
      <c r="H75" s="126"/>
    </row>
    <row r="76" spans="1:8">
      <c r="A76" s="70"/>
      <c r="B76" s="70"/>
      <c r="C76" s="70"/>
      <c r="D76" s="70"/>
      <c r="E76" s="70"/>
      <c r="F76" s="70"/>
      <c r="G76" s="38"/>
      <c r="H76" s="38"/>
    </row>
    <row r="77" spans="1:8">
      <c r="A77" s="65" t="s">
        <v>227</v>
      </c>
      <c r="B77" s="12">
        <v>-0.02</v>
      </c>
      <c r="C77" s="12">
        <v>-0.01</v>
      </c>
      <c r="D77" s="71">
        <f>0</f>
        <v>0</v>
      </c>
      <c r="E77" s="71">
        <f>0.01</f>
        <v>0.01</v>
      </c>
      <c r="F77" s="71">
        <f>0.02</f>
        <v>0.02</v>
      </c>
      <c r="G77" s="38"/>
      <c r="H77" s="38"/>
    </row>
    <row r="78" spans="1:8">
      <c r="A78" s="13">
        <v>-0.02</v>
      </c>
      <c r="B78" s="68" cm="1">
        <f t="array" ref="B78">_xlfn.LET(_xlpm.gShift,$A78,_xlpm.mShift,B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142.9571931693076</v>
      </c>
      <c r="C78" s="68" cm="1">
        <f t="array" ref="C78">_xlfn.LET(_xlpm.gShift,$A78,_xlpm.mShift,C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146.93846352932698</v>
      </c>
      <c r="D78" s="68" cm="1">
        <f t="array" ref="D78">_xlfn.LET(_xlpm.gShift,$A78,_xlpm.mShift,D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150.91973388934642</v>
      </c>
      <c r="E78" s="68" cm="1">
        <f t="array" ref="E78">_xlfn.LET(_xlpm.gShift,$A78,_xlpm.mShift,E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154.90100424936574</v>
      </c>
      <c r="F78" s="68" cm="1">
        <f t="array" ref="F78">_xlfn.LET(_xlpm.gShift,$A78,_xlpm.mShift,F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158.88227460938512</v>
      </c>
      <c r="G78" s="38"/>
      <c r="H78" s="38"/>
    </row>
    <row r="79" spans="1:8">
      <c r="A79" s="13">
        <v>-0.01</v>
      </c>
      <c r="B79" s="68" cm="1">
        <f t="array" ref="B79">_xlfn.LET(_xlpm.gShift,$A79,_xlpm.mShift,B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149.16199533069766</v>
      </c>
      <c r="C79" s="68" cm="1">
        <f t="array" ref="C79">_xlfn.LET(_xlpm.gShift,$A79,_xlpm.mShift,C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153.31335506759132</v>
      </c>
      <c r="D79" s="68" cm="1">
        <f t="array" ref="D79">_xlfn.LET(_xlpm.gShift,$A79,_xlpm.mShift,D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157.46471480448494</v>
      </c>
      <c r="E79" s="68" cm="1">
        <f t="array" ref="E79">_xlfn.LET(_xlpm.gShift,$A79,_xlpm.mShift,E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161.61607454137859</v>
      </c>
      <c r="F79" s="68" cm="1">
        <f t="array" ref="F79">_xlfn.LET(_xlpm.gShift,$A79,_xlpm.mShift,F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165.76743427827225</v>
      </c>
      <c r="G79" s="38"/>
      <c r="H79" s="38"/>
    </row>
    <row r="80" spans="1:8">
      <c r="A80" s="72">
        <f>0</f>
        <v>0</v>
      </c>
      <c r="B80" s="68" cm="1">
        <f t="array" ref="B80">_xlfn.LET(_xlpm.gShift,$A80,_xlpm.mShift,B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155.58687317774155</v>
      </c>
      <c r="C80" s="68" cm="1">
        <f t="array" ref="C80">_xlfn.LET(_xlpm.gShift,$A80,_xlpm.mShift,C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159.91443283450167</v>
      </c>
      <c r="D80" s="69" cm="1">
        <f t="array" ref="D80">_xlfn.LET(_xlpm.gShift,$A80,_xlpm.mShift,D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164.24199249126184</v>
      </c>
      <c r="E80" s="68" cm="1">
        <f t="array" ref="E80">_xlfn.LET(_xlpm.gShift,$A80,_xlpm.mShift,E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168.56955214802198</v>
      </c>
      <c r="F80" s="68" cm="1">
        <f t="array" ref="F80">_xlfn.LET(_xlpm.gShift,$A80,_xlpm.mShift,F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172.89711180478213</v>
      </c>
      <c r="G80" s="38"/>
      <c r="H80" s="38"/>
    </row>
    <row r="81" spans="1:8">
      <c r="A81" s="72">
        <f>0.01</f>
        <v>0.01</v>
      </c>
      <c r="B81" s="68" cm="1">
        <f t="array" ref="B81">_xlfn.LET(_xlpm.gShift,$A81,_xlpm.mShift,B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162.23779461579997</v>
      </c>
      <c r="C81" s="68" cm="1">
        <f t="array" ref="C81">_xlfn.LET(_xlpm.gShift,$A81,_xlpm.mShift,C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166.74783328314982</v>
      </c>
      <c r="D81" s="68" cm="1">
        <f t="array" ref="D81">_xlfn.LET(_xlpm.gShift,$A81,_xlpm.mShift,D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171.25787195049969</v>
      </c>
      <c r="E81" s="68" cm="1">
        <f t="array" ref="E81">_xlfn.LET(_xlpm.gShift,$A81,_xlpm.mShift,E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175.76791061784954</v>
      </c>
      <c r="F81" s="68" cm="1">
        <f t="array" ref="F81">_xlfn.LET(_xlpm.gShift,$A81,_xlpm.mShift,F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180.27794928519944</v>
      </c>
      <c r="G81" s="38"/>
      <c r="H81" s="38"/>
    </row>
    <row r="82" spans="1:8">
      <c r="A82" s="72">
        <f>0.02</f>
        <v>0.02</v>
      </c>
      <c r="B82" s="68" cm="1">
        <f t="array" ref="B82">_xlfn.LET(_xlpm.gShift,$A82,_xlpm.mShift,B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169.12083574182446</v>
      </c>
      <c r="C82" s="68" cm="1">
        <f t="array" ref="C82">_xlfn.LET(_xlpm.gShift,$A82,_xlpm.mShift,C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173.8198041700457</v>
      </c>
      <c r="D82" s="68" cm="1">
        <f t="array" ref="D82">_xlfn.LET(_xlpm.gShift,$A82,_xlpm.mShift,D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178.51877259826696</v>
      </c>
      <c r="E82" s="68" cm="1">
        <f t="array" ref="E82">_xlfn.LET(_xlpm.gShift,$A82,_xlpm.mShift,E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183.21774102648823</v>
      </c>
      <c r="F82" s="68" cm="1">
        <f t="array" ref="F82">_xlfn.LET(_xlpm.gShift,$A82,_xlpm.mShift,F$77,_xlpm.growth,$B$29:$F$29+_xlpm.gShift,_xlpm.margin,$B$30:$F$30+_xlpm.mShift,_xlpm.rev,_xlfn.SCAN($B$41,_xlpm.growth,_xlfn.LAMBDA(_xlpm.a,_xlpm.b,_xlpm.a*(1+_xlpm.b))),_xlpm.prior,_xlfn.HSTACK($B$41,_xlfn.DROP(_xlpm.rev,,-1)),_xlpm.fcf,_xlpm.rev*_xlpm.margin*(1-$B$31:$F$31)+_xlpm.rev*$B$32:$F$32-_xlpm.rev*$B$33:$F$33-(_xlpm.rev-_xlpm.prior)*$B$34:$F$34,_xlpm.pv,SUM(_xlpm.fcf/(1+$B$53)^$C$56:$G$56),_xlpm.tv,_xlfn.TAKE(_xlpm.fcf,,-1)*(1+$B$54)/($B$53-$B$54)*IF('Model Inputs'!$B$22="Year-End",1/(1+$B$53)^5,1/(1+$B$53)^$G$56),IF($B$53&lt;=$B$54,NA(),(_xlpm.pv+_xlpm.tv-$B$22)/$B$20))</f>
        <v>187.91670945470946</v>
      </c>
      <c r="G82" s="38"/>
      <c r="H82" s="38"/>
    </row>
  </sheetData>
  <sheetProtection formatCells="0" formatColumns="0" formatRows="0" sort="0" autoFilter="0"/>
  <mergeCells count="7">
    <mergeCell ref="A75:H75"/>
    <mergeCell ref="A27:H27"/>
    <mergeCell ref="A1:H1"/>
    <mergeCell ref="A7:H7"/>
    <mergeCell ref="A39:H39"/>
    <mergeCell ref="A52:H52"/>
    <mergeCell ref="A65:H65"/>
  </mergeCells>
  <conditionalFormatting sqref="B24">
    <cfRule type="notContainsText" dxfId="51" priority="1" operator="notContains" text="OK">
      <formula>ISERROR(SEARCH("OK",B24))</formula>
    </cfRule>
    <cfRule type="containsText" dxfId="50" priority="2" operator="containsText" text="OK">
      <formula>NOT(ISERROR(SEARCH("OK",B24)))</formula>
    </cfRule>
  </conditionalFormatting>
  <dataValidations count="1">
    <dataValidation type="list" showInputMessage="1" showErrorMessage="1" sqref="B4" xr:uid="{062D2DC6-7EB9-45F7-887D-3E400BB52B56}">
      <formula1>"1,2,3"</formula1>
    </dataValidation>
  </dataValidation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FBD2-719C-48DC-BB22-4516CCE15954}">
  <sheetPr>
    <tabColor rgb="FF7D7D7D"/>
  </sheetPr>
  <dimension ref="A1:F72"/>
  <sheetViews>
    <sheetView showGridLines="0" topLeftCell="A12" zoomScale="130" zoomScaleNormal="130" workbookViewId="0">
      <selection activeCell="B40" sqref="B40"/>
    </sheetView>
  </sheetViews>
  <sheetFormatPr defaultRowHeight="19.5"/>
  <cols>
    <col min="1" max="1" width="32.875" style="14" bestFit="1" customWidth="1"/>
    <col min="2" max="2" width="22.375" style="14" bestFit="1" customWidth="1"/>
    <col min="3" max="3" width="40.75" style="14" bestFit="1" customWidth="1"/>
    <col min="4" max="4" width="71.125" style="14" bestFit="1" customWidth="1"/>
    <col min="5" max="6" width="6.5" style="14" bestFit="1" customWidth="1"/>
    <col min="7" max="16384" width="9" style="14"/>
  </cols>
  <sheetData>
    <row r="1" spans="1:6" ht="26.1" customHeight="1">
      <c r="A1" s="123" t="s">
        <v>160</v>
      </c>
      <c r="B1" s="124"/>
      <c r="C1" s="124"/>
      <c r="D1" s="124"/>
      <c r="E1" s="124"/>
      <c r="F1" s="124"/>
    </row>
    <row r="2" spans="1:6" ht="20.25" thickBot="1">
      <c r="A2" s="38"/>
      <c r="B2" s="38"/>
      <c r="C2" s="38"/>
      <c r="D2" s="38"/>
      <c r="E2" s="38"/>
      <c r="F2" s="38"/>
    </row>
    <row r="3" spans="1:6">
      <c r="A3" s="118" t="s">
        <v>54</v>
      </c>
      <c r="B3" s="121" t="str">
        <f>DCF!A3</f>
        <v>AAPL</v>
      </c>
      <c r="C3" s="38"/>
      <c r="D3" s="38"/>
      <c r="E3" s="38"/>
      <c r="F3" s="38"/>
    </row>
    <row r="4" spans="1:6" ht="20.25" thickBot="1">
      <c r="A4" s="119" t="s">
        <v>161</v>
      </c>
      <c r="B4" s="120">
        <f ca="1">DCF!B3</f>
        <v>46161</v>
      </c>
      <c r="C4" s="38"/>
      <c r="D4" s="38"/>
      <c r="E4" s="38"/>
      <c r="F4" s="38"/>
    </row>
    <row r="5" spans="1:6">
      <c r="A5" s="38"/>
      <c r="B5" s="38"/>
      <c r="C5" s="38"/>
      <c r="D5" s="38"/>
      <c r="E5" s="38"/>
      <c r="F5" s="38"/>
    </row>
    <row r="6" spans="1:6" ht="24" customHeight="1">
      <c r="A6" s="42" t="s">
        <v>162</v>
      </c>
      <c r="B6" s="74"/>
      <c r="C6" s="74"/>
      <c r="D6" s="74"/>
      <c r="E6" s="42"/>
      <c r="F6" s="42"/>
    </row>
    <row r="7" spans="1:6">
      <c r="A7" s="40" t="s">
        <v>163</v>
      </c>
      <c r="B7" s="15">
        <v>0</v>
      </c>
      <c r="C7" s="73" t="b">
        <f>IF(B7=0,FALSE,TRUE)</f>
        <v>0</v>
      </c>
      <c r="D7" s="75" t="s">
        <v>164</v>
      </c>
      <c r="E7" s="38"/>
      <c r="F7" s="38"/>
    </row>
    <row r="8" spans="1:6">
      <c r="A8" s="40" t="s">
        <v>342</v>
      </c>
      <c r="B8" s="16">
        <v>0</v>
      </c>
      <c r="C8" s="73" t="b">
        <f t="shared" ref="C8:C19" si="0">IF(B8=0,FALSE,TRUE)</f>
        <v>0</v>
      </c>
      <c r="D8" s="75" t="s">
        <v>165</v>
      </c>
      <c r="E8" s="38"/>
      <c r="F8" s="38"/>
    </row>
    <row r="9" spans="1:6">
      <c r="A9" s="40" t="s">
        <v>356</v>
      </c>
      <c r="B9" s="15">
        <v>0</v>
      </c>
      <c r="C9" s="73" t="b">
        <f t="shared" si="0"/>
        <v>0</v>
      </c>
      <c r="D9" s="75" t="s">
        <v>166</v>
      </c>
      <c r="E9" s="38"/>
      <c r="F9" s="38"/>
    </row>
    <row r="10" spans="1:6">
      <c r="A10" s="40" t="s">
        <v>357</v>
      </c>
      <c r="B10" s="15">
        <v>0</v>
      </c>
      <c r="C10" s="73" t="b">
        <f t="shared" si="0"/>
        <v>0</v>
      </c>
      <c r="D10" s="75" t="s">
        <v>167</v>
      </c>
      <c r="E10" s="38"/>
      <c r="F10" s="38"/>
    </row>
    <row r="11" spans="1:6" ht="25.5">
      <c r="A11" s="40" t="s">
        <v>168</v>
      </c>
      <c r="B11" s="17">
        <v>0</v>
      </c>
      <c r="C11" s="73" t="b">
        <f t="shared" si="0"/>
        <v>0</v>
      </c>
      <c r="D11" s="75" t="s">
        <v>169</v>
      </c>
      <c r="E11" s="38"/>
      <c r="F11" s="38"/>
    </row>
    <row r="12" spans="1:6">
      <c r="A12" s="40" t="s">
        <v>358</v>
      </c>
      <c r="B12" s="18">
        <v>0</v>
      </c>
      <c r="C12" s="73" t="b">
        <f t="shared" si="0"/>
        <v>0</v>
      </c>
      <c r="D12" s="75" t="s">
        <v>170</v>
      </c>
      <c r="E12" s="38"/>
      <c r="F12" s="38"/>
    </row>
    <row r="13" spans="1:6">
      <c r="A13" s="40" t="s">
        <v>359</v>
      </c>
      <c r="B13" s="18">
        <v>0</v>
      </c>
      <c r="C13" s="73" t="b">
        <f t="shared" si="0"/>
        <v>0</v>
      </c>
      <c r="D13" s="75" t="s">
        <v>171</v>
      </c>
      <c r="E13" s="38"/>
      <c r="F13" s="38"/>
    </row>
    <row r="14" spans="1:6">
      <c r="A14" s="40" t="s">
        <v>360</v>
      </c>
      <c r="B14" s="18">
        <v>0</v>
      </c>
      <c r="C14" s="73" t="b">
        <f t="shared" si="0"/>
        <v>0</v>
      </c>
      <c r="D14" s="75" t="s">
        <v>172</v>
      </c>
      <c r="E14" s="38"/>
      <c r="F14" s="38"/>
    </row>
    <row r="15" spans="1:6">
      <c r="A15" s="40" t="s">
        <v>173</v>
      </c>
      <c r="B15" s="17">
        <v>0</v>
      </c>
      <c r="C15" s="73" t="b">
        <f t="shared" si="0"/>
        <v>0</v>
      </c>
      <c r="D15" s="75" t="s">
        <v>174</v>
      </c>
      <c r="E15" s="38"/>
      <c r="F15" s="38"/>
    </row>
    <row r="16" spans="1:6">
      <c r="A16" s="40" t="s">
        <v>175</v>
      </c>
      <c r="B16" s="16">
        <v>0</v>
      </c>
      <c r="C16" s="73" t="b">
        <f t="shared" si="0"/>
        <v>0</v>
      </c>
      <c r="D16" s="75" t="s">
        <v>240</v>
      </c>
      <c r="E16" s="38"/>
      <c r="F16" s="38"/>
    </row>
    <row r="17" spans="1:6">
      <c r="A17" s="40" t="s">
        <v>176</v>
      </c>
      <c r="B17" s="17">
        <v>0</v>
      </c>
      <c r="C17" s="37" t="b">
        <f t="shared" si="0"/>
        <v>0</v>
      </c>
      <c r="D17" s="75" t="s">
        <v>177</v>
      </c>
      <c r="E17" s="38"/>
      <c r="F17" s="38"/>
    </row>
    <row r="18" spans="1:6">
      <c r="A18" s="40" t="s">
        <v>43</v>
      </c>
      <c r="B18" s="17">
        <v>0.05</v>
      </c>
      <c r="C18" s="37" t="b">
        <f t="shared" si="0"/>
        <v>1</v>
      </c>
      <c r="D18" s="75" t="s">
        <v>178</v>
      </c>
      <c r="E18" s="38"/>
      <c r="F18" s="38"/>
    </row>
    <row r="19" spans="1:6">
      <c r="A19" s="40" t="s">
        <v>46</v>
      </c>
      <c r="B19" s="17">
        <v>0</v>
      </c>
      <c r="C19" s="37" t="b">
        <f t="shared" si="0"/>
        <v>0</v>
      </c>
      <c r="D19" s="75" t="s">
        <v>179</v>
      </c>
      <c r="E19" s="38"/>
      <c r="F19" s="38"/>
    </row>
    <row r="20" spans="1:6">
      <c r="A20" s="40" t="s">
        <v>180</v>
      </c>
      <c r="B20" s="76">
        <f>0.03</f>
        <v>0.03</v>
      </c>
      <c r="C20" s="77" t="s">
        <v>181</v>
      </c>
      <c r="D20" s="75"/>
      <c r="E20" s="38"/>
      <c r="F20" s="38"/>
    </row>
    <row r="21" spans="1:6">
      <c r="A21" s="40" t="s">
        <v>182</v>
      </c>
      <c r="B21" s="76">
        <f>0.03</f>
        <v>0.03</v>
      </c>
      <c r="C21" s="77" t="s">
        <v>183</v>
      </c>
      <c r="D21" s="75"/>
      <c r="E21" s="38"/>
      <c r="F21" s="38"/>
    </row>
    <row r="22" spans="1:6">
      <c r="A22" s="38" t="s">
        <v>241</v>
      </c>
      <c r="B22" s="78" t="s">
        <v>468</v>
      </c>
      <c r="C22" s="79" t="s">
        <v>242</v>
      </c>
      <c r="D22" s="38" t="s">
        <v>243</v>
      </c>
      <c r="E22" s="38"/>
      <c r="F22" s="38"/>
    </row>
    <row r="23" spans="1:6">
      <c r="A23" s="38" t="s">
        <v>244</v>
      </c>
      <c r="B23" s="79" t="s">
        <v>245</v>
      </c>
      <c r="C23" s="79" t="s">
        <v>242</v>
      </c>
      <c r="D23" s="38" t="s">
        <v>246</v>
      </c>
      <c r="E23" s="38"/>
      <c r="F23" s="38"/>
    </row>
    <row r="24" spans="1:6" ht="24" customHeight="1">
      <c r="A24" s="42" t="s">
        <v>184</v>
      </c>
      <c r="B24" s="74"/>
      <c r="C24" s="74"/>
      <c r="D24" s="74"/>
      <c r="E24" s="42"/>
      <c r="F24" s="42"/>
    </row>
    <row r="25" spans="1:6">
      <c r="A25" s="40" t="s">
        <v>163</v>
      </c>
      <c r="B25" s="46">
        <f>_xlfn.LET(_xlpm.raw,IFERROR('Data Queries'!E2,0),_xlpm.q,IFERROR(_xlfn.NUMBERVALUE(_xlpm.raw),0),IF(AND($C$7,B7&lt;&gt;0),B7,IF(_xlpm.q&gt;0,_xlpm.q,B7)))</f>
        <v>297.83999999999997</v>
      </c>
      <c r="C25" s="75" t="s">
        <v>185</v>
      </c>
      <c r="D25" s="37" t="str">
        <f>IF(B25&gt;0,"OK","MISSING")</f>
        <v>OK</v>
      </c>
      <c r="E25" s="38"/>
      <c r="F25" s="38"/>
    </row>
    <row r="26" spans="1:6" ht="25.5">
      <c r="A26" s="40" t="s">
        <v>342</v>
      </c>
      <c r="B26" s="80">
        <f>_xlfn.LET(_xlpm.dil,IFERROR(_xlfn.XLOOKUP("*Shares*Diluted*",EDGAR_IncomeStatement[Line Item],EDGAR_IncomeStatement[Value],0,2),0),_xlpm.so,IFERROR(INDEX(EDGAR_SharesOutstanding[Shares Outstanding],1),0),IF(AND($C$8,B8&lt;&gt;0),B8,IF(_xlpm.dil&gt;0,_xlpm.dil,IF(_xlpm.so&gt;0,_xlpm.so,B8))))</f>
        <v>15004697000</v>
      </c>
      <c r="C26" s="75" t="s">
        <v>186</v>
      </c>
      <c r="D26" s="37" t="str">
        <f>IF(B26&gt;0,"OK","MISSING")</f>
        <v>OK</v>
      </c>
      <c r="E26" s="38"/>
      <c r="F26" s="38"/>
    </row>
    <row r="27" spans="1:6" ht="25.5">
      <c r="A27" s="40" t="s">
        <v>349</v>
      </c>
      <c r="B27" s="44">
        <f>B25*IF(B40&gt;0,B40,B26)</f>
        <v>4400988977520</v>
      </c>
      <c r="C27" s="75" t="s">
        <v>248</v>
      </c>
      <c r="D27" s="37" t="str">
        <f>IF(B27&gt;0,"OK","MISSING")</f>
        <v>OK</v>
      </c>
      <c r="E27" s="38"/>
      <c r="F27" s="38"/>
    </row>
    <row r="28" spans="1:6" ht="25.5">
      <c r="A28" s="40" t="s">
        <v>356</v>
      </c>
      <c r="B28" s="44">
        <f>_xlfn.LET(_xlpm.rev,IFERROR(_xlfn.XLOOKUP("Total Revenue",EDGAR_IncomeStatement[Line Item],EDGAR_IncomeStatement[Value],0,0),0),_xlpm.gross,IFERROR(_xlfn.XLOOKUP("Gross Profit",EDGAR_IncomeStatement[Line Item],EDGAR_IncomeStatement[Value],0,0),0),_xlpm.cogs,IFERROR(_xlfn.XLOOKUP("Cost of Goods &amp; Services Sold",EDGAR_IncomeStatement[Line Item],EDGAR_IncomeStatement[Value],0,0),0),_xlpm.costrev,IFERROR(_xlfn.XLOOKUP("Cost of Revenue",EDGAR_IncomeStatement[Line Item],EDGAR_IncomeStatement[Value],0,0),0),_xlpm.alt,_xlpm.gross+MAX(_xlpm.cogs,_xlpm.costrev),IF(AND($C$9,B9&lt;&gt;0),B9,IF(_xlpm.rev&gt;0,_xlpm.rev,IF(_xlpm.alt&gt;0,_xlpm.alt,B9))))</f>
        <v>416161000000</v>
      </c>
      <c r="C28" s="75" t="s">
        <v>187</v>
      </c>
      <c r="D28" s="37" t="str">
        <f>_xlfn.LET(_xlpm.rev,IFERROR(_xlfn.XLOOKUP("Total Revenue",EDGAR_IncomeStatement[Line Item],EDGAR_IncomeStatement[Value],0,0),0),_xlpm.gross,IFERROR(_xlfn.XLOOKUP("Gross Profit",EDGAR_IncomeStatement[Line Item],EDGAR_IncomeStatement[Value],0,0),0),_xlpm.cogs,IFERROR(_xlfn.XLOOKUP("Cost of Goods &amp; Services Sold",EDGAR_IncomeStatement[Line Item],EDGAR_IncomeStatement[Value],0,0),0),_xlpm.costrev,IFERROR(_xlfn.XLOOKUP("Cost of Revenue",EDGAR_IncomeStatement[Line Item],EDGAR_IncomeStatement[Value],0,0),0),_xlpm.alt,_xlpm.gross+MAX(_xlpm.cogs,_xlpm.costrev),IF(AND($C$9,B9&lt;&gt;""),"OVERRIDE",IF(_xlpm.rev&gt;0,"OK",IF(_xlpm.alt&gt;0,"INFERRED","FALLBACK"))))</f>
        <v>OK</v>
      </c>
      <c r="E28" s="38"/>
      <c r="F28" s="38"/>
    </row>
    <row r="29" spans="1:6">
      <c r="A29" s="40" t="s">
        <v>357</v>
      </c>
      <c r="B29" s="44">
        <f>_xlfn.LET(_xlpm.q,IFERROR(_xlfn.XLOOKUP("Operating Income (Loss)",EDGAR_IncomeStatement[Line Item],EDGAR_IncomeStatement[Value],0,0),0),IF(AND($C$10,B10&lt;&gt;0),B10,IF(_xlpm.q&lt;&gt;0,_xlpm.q,B10)))</f>
        <v>133050000000</v>
      </c>
      <c r="C29" s="75" t="s">
        <v>188</v>
      </c>
      <c r="D29" s="37" t="str">
        <f>IF(B29&lt;&gt;0,"OK","MISSING")</f>
        <v>OK</v>
      </c>
      <c r="E29" s="38"/>
      <c r="F29" s="38"/>
    </row>
    <row r="30" spans="1:6">
      <c r="A30" s="40" t="s">
        <v>189</v>
      </c>
      <c r="B30" s="81">
        <f>IFERROR(B29/B28,0)</f>
        <v>0.31970799762591884</v>
      </c>
      <c r="C30" s="75" t="s">
        <v>190</v>
      </c>
      <c r="D30" s="37" t="str">
        <f>IF(B30&gt;0,"OK","CHECK")</f>
        <v>OK</v>
      </c>
      <c r="E30" s="38"/>
      <c r="F30" s="38"/>
    </row>
    <row r="31" spans="1:6">
      <c r="A31" s="40" t="s">
        <v>173</v>
      </c>
      <c r="B31" s="81">
        <f>_xlfn.LET(_xlpm.pbt,IFERROR(_xlfn.XLOOKUP("Income Before Tax",EDGAR_IncomeStatement[Line Item],EDGAR_IncomeStatement[Value],0,0),0),_xlpm.tax,IFERROR(_xlfn.XLOOKUP("Income Tax Expense (Benefit)",EDGAR_IncomeStatement[Line Item],EDGAR_IncomeStatement[Value],0,0),0),IF(AND($C$15,B15&lt;&gt;0),B15,IF(AND(_xlpm.pbt&gt;0,_xlpm.tax&gt;0,_xlpm.tax/_xlpm.pbt&lt;0.4),_xlpm.tax/_xlpm.pbt,B15)))</f>
        <v>0.15610002335586043</v>
      </c>
      <c r="C31" s="75" t="s">
        <v>191</v>
      </c>
      <c r="D31" s="37" t="str">
        <f>IF(AND(B31&gt;0,B31&lt;0.4),"OK","CHECK")</f>
        <v>OK</v>
      </c>
      <c r="E31" s="38"/>
      <c r="F31" s="38"/>
    </row>
    <row r="32" spans="1:6">
      <c r="A32" s="40" t="s">
        <v>168</v>
      </c>
      <c r="B32" s="81">
        <f>_xlfn.LET(_xlpm.val,IFERROR(_xlfn.XLOOKUP("*Depreciation*",EDGAR_StatementOfCashFlows[Line Item],EDGAR_StatementOfCashFlows[Value (USD)],0,2),0),_xlpm.fy,IFERROR(_xlfn.XLOOKUP("*Depreciation*",EDGAR_StatementOfCashFlows[Line Item],EDGAR_StatementOfCashFlows[FY],0,2),0),_xlpm.manual,B11,IF(AND($C$11,_xlpm.manual&lt;&gt;0),_xlpm.manual,IF(AND(_xlpm.val&gt;0,_xlpm.fy=$B$39,$B$28&gt;0),_xlpm.val/$B$28,_xlpm.manual)))</f>
        <v>2.8109313462818475E-2</v>
      </c>
      <c r="C32" s="75" t="s">
        <v>192</v>
      </c>
      <c r="D32" s="37" t="str">
        <f>IF(AND(B32&gt;0,B32&lt;0.3),"OK","CHECK")</f>
        <v>OK</v>
      </c>
      <c r="E32" s="38"/>
      <c r="F32" s="38"/>
    </row>
    <row r="33" spans="1:6" ht="25.5">
      <c r="A33" s="40" t="s">
        <v>193</v>
      </c>
      <c r="B33" s="81">
        <f>_xlfn.LET(_xlpm.val,IFERROR(_xlfn.XLOOKUP("Capital Expenditures",EDGAR_StatementOfCashFlows[Line Item],EDGAR_StatementOfCashFlows[Value (USD)],0,0),0),_xlpm.fy,IFERROR(_xlfn.XLOOKUP("Capital Expenditures",EDGAR_StatementOfCashFlows[Line Item],EDGAR_StatementOfCashFlows[FY],0,0),0),_xlpm.manual,IFERROR(B12/$B$28,0),IF(AND($C$12,B12&lt;&gt;0),_xlpm.manual,IF(AND(_xlpm.val&lt;&gt;0,_xlpm.fy=$B$39,$B$28&gt;0),ABS(_xlpm.val)/$B$28,_xlpm.manual)))</f>
        <v>3.0553079216937677E-2</v>
      </c>
      <c r="C33" s="75" t="s">
        <v>194</v>
      </c>
      <c r="D33" s="37" t="str">
        <f>IF(AND(B33&gt;0,B33&lt;0.3),"OK","CHECK")</f>
        <v>OK</v>
      </c>
      <c r="E33" s="38"/>
      <c r="F33" s="38"/>
    </row>
    <row r="34" spans="1:6">
      <c r="A34" s="40" t="s">
        <v>359</v>
      </c>
      <c r="B34" s="44">
        <f>_xlfn.LET(_xlpm.q,IFERROR(_xlfn.XLOOKUP("Cash &amp; Equivalents",EDGAR_BalanceSheet[Line Item],EDGAR_BalanceSheet[Value (USD)],0,0),0),IF(AND($C$13,B13&lt;&gt;0),B13,IF(_xlpm.q&gt;0,_xlpm.q,B13)))</f>
        <v>35934000000</v>
      </c>
      <c r="C34" s="75" t="s">
        <v>195</v>
      </c>
      <c r="D34" s="37" t="str">
        <f>IF(B34&gt;=0,"OK","CHECK")</f>
        <v>OK</v>
      </c>
      <c r="E34" s="38"/>
      <c r="F34" s="38"/>
    </row>
    <row r="35" spans="1:6">
      <c r="A35" s="40" t="s">
        <v>360</v>
      </c>
      <c r="B35" s="44">
        <f>_xlfn.LET(_xlpm.st,IFERROR(_xlfn.XLOOKUP("Short-Term Debt",EDGAR_BalanceSheet[Line Item],EDGAR_BalanceSheet[Value (USD)],0,0),0),_xlpm.lt,IFERROR(_xlfn.XLOOKUP("Long-Term Debt",EDGAR_BalanceSheet[Line Item],EDGAR_BalanceSheet[Value (USD)],0,0),0),_xlpm.q,_xlpm.st+_xlpm.lt,IF(AND($C$14,B14&lt;&gt;0),B14,IF(_xlpm.q&gt;=0,_xlpm.q,B14)))</f>
        <v>90678000000</v>
      </c>
      <c r="C35" s="75" t="s">
        <v>196</v>
      </c>
      <c r="D35" s="37" t="str">
        <f>IF(B35&gt;=0,"OK","CHECK")</f>
        <v>OK</v>
      </c>
      <c r="E35" s="38"/>
      <c r="F35" s="38"/>
    </row>
    <row r="36" spans="1:6">
      <c r="A36" s="40" t="s">
        <v>350</v>
      </c>
      <c r="B36" s="44">
        <f>B35-B34</f>
        <v>54744000000</v>
      </c>
      <c r="C36" s="75" t="s">
        <v>197</v>
      </c>
      <c r="D36" s="37" t="str">
        <f>IF(ISNUMBER(B36),"OK","CHECK")</f>
        <v>OK</v>
      </c>
      <c r="E36" s="38"/>
      <c r="F36" s="38"/>
    </row>
    <row r="37" spans="1:6">
      <c r="A37" s="40" t="s">
        <v>180</v>
      </c>
      <c r="B37" s="81">
        <f>B20</f>
        <v>0.03</v>
      </c>
      <c r="C37" s="75" t="s">
        <v>198</v>
      </c>
      <c r="D37" s="37" t="str">
        <f>IF(AND(B37&gt;=-0.2,B37&lt;=0.3),"OK","CHECK")</f>
        <v>OK</v>
      </c>
      <c r="E37" s="38"/>
      <c r="F37" s="38"/>
    </row>
    <row r="38" spans="1:6">
      <c r="A38" s="40" t="s">
        <v>182</v>
      </c>
      <c r="B38" s="81">
        <f>B21</f>
        <v>0.03</v>
      </c>
      <c r="C38" s="75" t="s">
        <v>199</v>
      </c>
      <c r="D38" s="37" t="str">
        <f>IF(B38&lt;WACC!$B$22,"OK","INVALID: g &gt;= WACC")</f>
        <v>OK</v>
      </c>
      <c r="E38" s="38"/>
      <c r="F38" s="38"/>
    </row>
    <row r="39" spans="1:6">
      <c r="A39" s="40" t="s">
        <v>200</v>
      </c>
      <c r="B39" s="82">
        <f>MAX(IFERROR(MAX(EDGAR_IncomeStatement[FY]),0),IFERROR(MAX(EDGAR_BalanceSheet[FY]),0),IFERROR(MAX(EDGAR_StatementOfCashFlows[FY]),0))</f>
        <v>2025</v>
      </c>
      <c r="C39" s="75" t="s">
        <v>201</v>
      </c>
      <c r="D39" s="37" t="str">
        <f>IF(B39&gt;0,"OK","MISSING")</f>
        <v>OK</v>
      </c>
      <c r="E39" s="38"/>
      <c r="F39" s="38"/>
    </row>
    <row r="40" spans="1:6">
      <c r="A40" s="38" t="s">
        <v>363</v>
      </c>
      <c r="B40" s="50">
        <f>_xlfn.LET(_xlpm.so,IFERROR(INDEX(EDGAR_SharesOutstanding[Shares Outstanding],1),0),IF(_xlpm.so&gt;0,_xlpm.so,B26))</f>
        <v>14776353000</v>
      </c>
      <c r="C40" s="38" t="s">
        <v>247</v>
      </c>
      <c r="D40" s="37" t="str">
        <f>IF(B40&gt;0,"OK","MISSING")</f>
        <v>OK</v>
      </c>
      <c r="E40" s="38"/>
      <c r="F40" s="38"/>
    </row>
    <row r="41" spans="1:6">
      <c r="A41" s="38"/>
      <c r="B41" s="38"/>
      <c r="C41" s="38"/>
      <c r="D41" s="38"/>
      <c r="E41" s="38"/>
      <c r="F41" s="38"/>
    </row>
    <row r="42" spans="1:6" ht="24" customHeight="1">
      <c r="A42" s="42" t="s">
        <v>202</v>
      </c>
      <c r="B42" s="74"/>
      <c r="C42" s="74"/>
      <c r="D42" s="74"/>
      <c r="E42" s="74"/>
      <c r="F42" s="74"/>
    </row>
    <row r="43" spans="1:6">
      <c r="A43" s="38"/>
      <c r="B43" s="38"/>
      <c r="C43" s="38"/>
      <c r="D43" s="38"/>
      <c r="E43" s="38"/>
      <c r="F43" s="38"/>
    </row>
    <row r="44" spans="1:6" ht="24" customHeight="1">
      <c r="A44" s="42" t="s">
        <v>203</v>
      </c>
      <c r="B44" s="42"/>
      <c r="C44" s="42"/>
      <c r="D44" s="42"/>
      <c r="E44" s="42"/>
      <c r="F44" s="42"/>
    </row>
    <row r="45" spans="1:6">
      <c r="A45" s="40" t="s">
        <v>9</v>
      </c>
      <c r="B45" s="83">
        <f>0.03</f>
        <v>0.03</v>
      </c>
      <c r="C45" s="83">
        <f>0.02</f>
        <v>0.02</v>
      </c>
      <c r="D45" s="83">
        <f>0.02</f>
        <v>0.02</v>
      </c>
      <c r="E45" s="83">
        <f>0.02</f>
        <v>0.02</v>
      </c>
      <c r="F45" s="83">
        <f>0.02</f>
        <v>0.02</v>
      </c>
    </row>
    <row r="46" spans="1:6">
      <c r="A46" s="40" t="s">
        <v>10</v>
      </c>
      <c r="B46" s="83">
        <f>MIN(MAX($B$30+-0.02,0),0.55)</f>
        <v>0.29970799762591882</v>
      </c>
      <c r="C46" s="83">
        <f>MIN(MAX($B$30+-0.01,0),0.55)</f>
        <v>0.30970799762591883</v>
      </c>
      <c r="D46" s="83">
        <f>MIN(MAX($B$30+0,0),0.55)</f>
        <v>0.31970799762591884</v>
      </c>
      <c r="E46" s="83">
        <f>MIN(MAX($B$30+0.01,0),0.55)</f>
        <v>0.32970799762591885</v>
      </c>
      <c r="F46" s="83">
        <f>MIN(MAX($B$30+0.02,0),0.55)</f>
        <v>0.33970799762591886</v>
      </c>
    </row>
    <row r="47" spans="1:6">
      <c r="A47" s="40" t="s">
        <v>11</v>
      </c>
      <c r="B47" s="83">
        <f>$B$31</f>
        <v>0.15610002335586043</v>
      </c>
      <c r="C47" s="83">
        <f>$B$31</f>
        <v>0.15610002335586043</v>
      </c>
      <c r="D47" s="83">
        <f>$B$31</f>
        <v>0.15610002335586043</v>
      </c>
      <c r="E47" s="83">
        <f>$B$31</f>
        <v>0.15610002335586043</v>
      </c>
      <c r="F47" s="83">
        <f>$B$31</f>
        <v>0.15610002335586043</v>
      </c>
    </row>
    <row r="48" spans="1:6">
      <c r="A48" s="40" t="s">
        <v>12</v>
      </c>
      <c r="B48" s="83">
        <f>$B$32</f>
        <v>2.8109313462818475E-2</v>
      </c>
      <c r="C48" s="83">
        <f>$B$32</f>
        <v>2.8109313462818475E-2</v>
      </c>
      <c r="D48" s="83">
        <f>$B$32</f>
        <v>2.8109313462818475E-2</v>
      </c>
      <c r="E48" s="83">
        <f>$B$32</f>
        <v>2.8109313462818475E-2</v>
      </c>
      <c r="F48" s="83">
        <f>$B$32</f>
        <v>2.8109313462818475E-2</v>
      </c>
    </row>
    <row r="49" spans="1:6">
      <c r="A49" s="40" t="s">
        <v>13</v>
      </c>
      <c r="B49" s="83">
        <f>$B$33</f>
        <v>3.0553079216937677E-2</v>
      </c>
      <c r="C49" s="83">
        <f>$B$33</f>
        <v>3.0553079216937677E-2</v>
      </c>
      <c r="D49" s="83">
        <f>$B$33</f>
        <v>3.0553079216937677E-2</v>
      </c>
      <c r="E49" s="83">
        <f>$B$33</f>
        <v>3.0553079216937677E-2</v>
      </c>
      <c r="F49" s="83">
        <f>$B$33</f>
        <v>3.0553079216937677E-2</v>
      </c>
    </row>
    <row r="50" spans="1:6">
      <c r="A50" s="40" t="s">
        <v>204</v>
      </c>
      <c r="B50" s="83">
        <f>$B$37</f>
        <v>0.03</v>
      </c>
      <c r="C50" s="83">
        <f>$B$37</f>
        <v>0.03</v>
      </c>
      <c r="D50" s="83">
        <f>$B$37</f>
        <v>0.03</v>
      </c>
      <c r="E50" s="83">
        <f>$B$37</f>
        <v>0.03</v>
      </c>
      <c r="F50" s="83">
        <f>$B$37</f>
        <v>0.03</v>
      </c>
    </row>
    <row r="51" spans="1:6">
      <c r="A51" s="40" t="s">
        <v>14</v>
      </c>
      <c r="B51" s="83">
        <f>MAX($B$38-0.01,0)</f>
        <v>1.9999999999999997E-2</v>
      </c>
      <c r="C51" s="83"/>
      <c r="D51" s="83"/>
      <c r="E51" s="83"/>
      <c r="F51" s="83"/>
    </row>
    <row r="52" spans="1:6">
      <c r="A52" s="40" t="s">
        <v>15</v>
      </c>
      <c r="B52" s="83">
        <f>WACC!$B$22+0.01</f>
        <v>0.10771664571855835</v>
      </c>
      <c r="C52" s="83"/>
      <c r="D52" s="83"/>
      <c r="E52" s="83"/>
      <c r="F52" s="83"/>
    </row>
    <row r="53" spans="1:6">
      <c r="A53" s="38"/>
      <c r="B53" s="70"/>
      <c r="C53" s="70"/>
      <c r="D53" s="70"/>
      <c r="E53" s="70"/>
      <c r="F53" s="70"/>
    </row>
    <row r="54" spans="1:6" ht="24" customHeight="1">
      <c r="A54" s="42" t="s">
        <v>205</v>
      </c>
      <c r="B54" s="42"/>
      <c r="C54" s="42"/>
      <c r="D54" s="42"/>
      <c r="E54" s="42"/>
      <c r="F54" s="42"/>
    </row>
    <row r="55" spans="1:6">
      <c r="A55" s="40" t="s">
        <v>9</v>
      </c>
      <c r="B55" s="19">
        <v>0.08</v>
      </c>
      <c r="C55" s="83">
        <f>0.1</f>
        <v>0.1</v>
      </c>
      <c r="D55" s="83">
        <f>0.08</f>
        <v>0.08</v>
      </c>
      <c r="E55" s="83">
        <f>0.06</f>
        <v>0.06</v>
      </c>
      <c r="F55" s="83">
        <f>0.04</f>
        <v>0.04</v>
      </c>
    </row>
    <row r="56" spans="1:6">
      <c r="A56" s="40" t="s">
        <v>10</v>
      </c>
      <c r="B56" s="83">
        <f>MIN(MAX($B$30+0.02,0),0.55)</f>
        <v>0.33970799762591886</v>
      </c>
      <c r="C56" s="83">
        <f>MIN(MAX($B$30+0.04,0),0.55)</f>
        <v>0.35970799762591882</v>
      </c>
      <c r="D56" s="83">
        <f>MIN(MAX($B$30+0.06,0),0.55)</f>
        <v>0.37970799762591884</v>
      </c>
      <c r="E56" s="83">
        <f>MIN(MAX($B$30+0.07,0),0.55)</f>
        <v>0.38970799762591884</v>
      </c>
      <c r="F56" s="83">
        <f>MIN(MAX($B$30+0.08,0),0.55)</f>
        <v>0.39970799762591885</v>
      </c>
    </row>
    <row r="57" spans="1:6">
      <c r="A57" s="40" t="s">
        <v>11</v>
      </c>
      <c r="B57" s="83">
        <f>$B$31</f>
        <v>0.15610002335586043</v>
      </c>
      <c r="C57" s="83">
        <f>$B$31</f>
        <v>0.15610002335586043</v>
      </c>
      <c r="D57" s="83">
        <f>$B$31</f>
        <v>0.15610002335586043</v>
      </c>
      <c r="E57" s="83">
        <f>$B$31</f>
        <v>0.15610002335586043</v>
      </c>
      <c r="F57" s="83">
        <f>$B$31</f>
        <v>0.15610002335586043</v>
      </c>
    </row>
    <row r="58" spans="1:6">
      <c r="A58" s="40" t="s">
        <v>12</v>
      </c>
      <c r="B58" s="83">
        <f>$B$32</f>
        <v>2.8109313462818475E-2</v>
      </c>
      <c r="C58" s="83">
        <f>$B$32</f>
        <v>2.8109313462818475E-2</v>
      </c>
      <c r="D58" s="83">
        <f>$B$32</f>
        <v>2.8109313462818475E-2</v>
      </c>
      <c r="E58" s="83">
        <f>$B$32</f>
        <v>2.8109313462818475E-2</v>
      </c>
      <c r="F58" s="83">
        <f>$B$32</f>
        <v>2.8109313462818475E-2</v>
      </c>
    </row>
    <row r="59" spans="1:6">
      <c r="A59" s="40" t="s">
        <v>13</v>
      </c>
      <c r="B59" s="83">
        <f>$B$33</f>
        <v>3.0553079216937677E-2</v>
      </c>
      <c r="C59" s="83">
        <f>$B$33</f>
        <v>3.0553079216937677E-2</v>
      </c>
      <c r="D59" s="83">
        <f>$B$33</f>
        <v>3.0553079216937677E-2</v>
      </c>
      <c r="E59" s="83">
        <f>$B$33</f>
        <v>3.0553079216937677E-2</v>
      </c>
      <c r="F59" s="83">
        <f>$B$33</f>
        <v>3.0553079216937677E-2</v>
      </c>
    </row>
    <row r="60" spans="1:6">
      <c r="A60" s="40" t="s">
        <v>204</v>
      </c>
      <c r="B60" s="83">
        <f>$B$37</f>
        <v>0.03</v>
      </c>
      <c r="C60" s="83">
        <f>$B$37</f>
        <v>0.03</v>
      </c>
      <c r="D60" s="83">
        <f>$B$37</f>
        <v>0.03</v>
      </c>
      <c r="E60" s="83">
        <f>$B$37</f>
        <v>0.03</v>
      </c>
      <c r="F60" s="83">
        <f>$B$37</f>
        <v>0.03</v>
      </c>
    </row>
    <row r="61" spans="1:6">
      <c r="A61" s="40" t="s">
        <v>14</v>
      </c>
      <c r="B61" s="83">
        <f>$B$38</f>
        <v>0.03</v>
      </c>
      <c r="C61" s="83"/>
      <c r="D61" s="83"/>
      <c r="E61" s="83"/>
      <c r="F61" s="83"/>
    </row>
    <row r="62" spans="1:6">
      <c r="A62" s="40" t="s">
        <v>15</v>
      </c>
      <c r="B62" s="83">
        <f>WACC!$B$22</f>
        <v>9.7716645718558356E-2</v>
      </c>
      <c r="C62" s="83"/>
      <c r="D62" s="83"/>
      <c r="E62" s="83"/>
      <c r="F62" s="83"/>
    </row>
    <row r="63" spans="1:6">
      <c r="A63" s="38"/>
      <c r="B63" s="70"/>
      <c r="C63" s="70"/>
      <c r="D63" s="70"/>
      <c r="E63" s="70"/>
      <c r="F63" s="70"/>
    </row>
    <row r="64" spans="1:6" ht="24" customHeight="1">
      <c r="A64" s="42" t="s">
        <v>206</v>
      </c>
      <c r="B64" s="42"/>
      <c r="C64" s="42"/>
      <c r="D64" s="42"/>
      <c r="E64" s="42"/>
      <c r="F64" s="42"/>
    </row>
    <row r="65" spans="1:6">
      <c r="A65" s="40" t="s">
        <v>9</v>
      </c>
      <c r="B65" s="19">
        <v>0.13</v>
      </c>
      <c r="C65" s="83">
        <f>0.15</f>
        <v>0.15</v>
      </c>
      <c r="D65" s="83">
        <f>0.12</f>
        <v>0.12</v>
      </c>
      <c r="E65" s="83">
        <f>0.1</f>
        <v>0.1</v>
      </c>
      <c r="F65" s="83">
        <f>0.08</f>
        <v>0.08</v>
      </c>
    </row>
    <row r="66" spans="1:6">
      <c r="A66" s="40" t="s">
        <v>10</v>
      </c>
      <c r="B66" s="83">
        <f>MIN(MAX($B$30+0.06,0),0.55)</f>
        <v>0.37970799762591884</v>
      </c>
      <c r="C66" s="83">
        <f>MIN(MAX($B$30+0.09,0),0.55)</f>
        <v>0.40970799762591881</v>
      </c>
      <c r="D66" s="83">
        <f>MIN(MAX($B$30+0.12,0),0.55)</f>
        <v>0.43970799762591883</v>
      </c>
      <c r="E66" s="83">
        <f>MIN(MAX($B$30+0.14,0),0.55)</f>
        <v>0.45970799762591885</v>
      </c>
      <c r="F66" s="83">
        <f>MIN(MAX($B$30+0.16,0),0.55)</f>
        <v>0.47970799762591887</v>
      </c>
    </row>
    <row r="67" spans="1:6">
      <c r="A67" s="40" t="s">
        <v>11</v>
      </c>
      <c r="B67" s="83">
        <f>$B$31</f>
        <v>0.15610002335586043</v>
      </c>
      <c r="C67" s="83">
        <f>$B$31</f>
        <v>0.15610002335586043</v>
      </c>
      <c r="D67" s="83">
        <f>$B$31</f>
        <v>0.15610002335586043</v>
      </c>
      <c r="E67" s="83">
        <f>$B$31</f>
        <v>0.15610002335586043</v>
      </c>
      <c r="F67" s="83">
        <f>$B$31</f>
        <v>0.15610002335586043</v>
      </c>
    </row>
    <row r="68" spans="1:6">
      <c r="A68" s="40" t="s">
        <v>12</v>
      </c>
      <c r="B68" s="83">
        <f>$B$32</f>
        <v>2.8109313462818475E-2</v>
      </c>
      <c r="C68" s="83">
        <f>$B$32</f>
        <v>2.8109313462818475E-2</v>
      </c>
      <c r="D68" s="83">
        <f>$B$32</f>
        <v>2.8109313462818475E-2</v>
      </c>
      <c r="E68" s="83">
        <f>$B$32</f>
        <v>2.8109313462818475E-2</v>
      </c>
      <c r="F68" s="83">
        <f>$B$32</f>
        <v>2.8109313462818475E-2</v>
      </c>
    </row>
    <row r="69" spans="1:6">
      <c r="A69" s="40" t="s">
        <v>13</v>
      </c>
      <c r="B69" s="83">
        <f>$B$33</f>
        <v>3.0553079216937677E-2</v>
      </c>
      <c r="C69" s="83">
        <f>$B$33</f>
        <v>3.0553079216937677E-2</v>
      </c>
      <c r="D69" s="83">
        <f>$B$33</f>
        <v>3.0553079216937677E-2</v>
      </c>
      <c r="E69" s="83">
        <f>$B$33</f>
        <v>3.0553079216937677E-2</v>
      </c>
      <c r="F69" s="83">
        <f>$B$33</f>
        <v>3.0553079216937677E-2</v>
      </c>
    </row>
    <row r="70" spans="1:6">
      <c r="A70" s="40" t="s">
        <v>204</v>
      </c>
      <c r="B70" s="83">
        <f>$B$37</f>
        <v>0.03</v>
      </c>
      <c r="C70" s="83">
        <f>$B$37</f>
        <v>0.03</v>
      </c>
      <c r="D70" s="83">
        <f>$B$37</f>
        <v>0.03</v>
      </c>
      <c r="E70" s="83">
        <f>$B$37</f>
        <v>0.03</v>
      </c>
      <c r="F70" s="83">
        <f>$B$37</f>
        <v>0.03</v>
      </c>
    </row>
    <row r="71" spans="1:6">
      <c r="A71" s="40" t="s">
        <v>14</v>
      </c>
      <c r="B71" s="83">
        <f>MIN($B$38+0.005,WACC!$B$22-0.005)</f>
        <v>3.4999999999999996E-2</v>
      </c>
      <c r="C71" s="83"/>
      <c r="D71" s="83"/>
      <c r="E71" s="83"/>
      <c r="F71" s="83"/>
    </row>
    <row r="72" spans="1:6">
      <c r="A72" s="40" t="s">
        <v>15</v>
      </c>
      <c r="B72" s="83">
        <f>MAX(WACC!$B$22-0.01,$B$71+0.005)</f>
        <v>8.7716645718558361E-2</v>
      </c>
      <c r="C72" s="83"/>
      <c r="D72" s="83"/>
      <c r="E72" s="83"/>
      <c r="F72" s="83"/>
    </row>
  </sheetData>
  <sheetProtection formatCells="0" formatColumns="0" formatRows="0" sort="0" autoFilter="0"/>
  <mergeCells count="1">
    <mergeCell ref="A1:F1"/>
  </mergeCells>
  <conditionalFormatting sqref="C7:C19">
    <cfRule type="containsText" dxfId="49" priority="1" operator="containsText" text="TRUE">
      <formula>NOT(ISERROR(SEARCH("TRUE",C7)))</formula>
    </cfRule>
  </conditionalFormatting>
  <conditionalFormatting sqref="D25">
    <cfRule type="containsText" dxfId="48" priority="6" operator="containsText" text="&quot;CHECK&quot;">
      <formula>NOT(ISERROR(SEARCH("""CHECK""",D25)))</formula>
    </cfRule>
  </conditionalFormatting>
  <conditionalFormatting sqref="D25:D40">
    <cfRule type="containsText" dxfId="47" priority="2" operator="containsText" text="OVERRIDE">
      <formula>NOT(ISERROR(SEARCH("OVERRIDE",D25)))</formula>
    </cfRule>
    <cfRule type="containsText" dxfId="46" priority="3" operator="containsText" text="OK">
      <formula>NOT(ISERROR(SEARCH("OK",D25)))</formula>
    </cfRule>
    <cfRule type="containsText" dxfId="45" priority="4" operator="containsText" text="MISSING">
      <formula>NOT(ISERROR(SEARCH("MISSING",D25)))</formula>
    </cfRule>
    <cfRule type="containsText" dxfId="44" priority="5" operator="containsText" text="CHECK">
      <formula>NOT(ISERROR(SEARCH("CHECK",D25)))</formula>
    </cfRule>
  </conditionalFormatting>
  <dataValidations disablePrompts="1" count="1">
    <dataValidation type="list" showInputMessage="1" showErrorMessage="1" sqref="B22" xr:uid="{C9A9290F-049D-4B93-B68D-6CC10237CE9F}">
      <formula1>"Mid-Year,Year-End"</formula1>
    </dataValidation>
  </dataValidation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FBD1-D2B5-402D-BC1A-AFCF5586CEA7}">
  <sheetPr>
    <tabColor rgb="FF7D7D7D"/>
  </sheetPr>
  <dimension ref="A1:C22"/>
  <sheetViews>
    <sheetView zoomScale="175" zoomScaleNormal="175" workbookViewId="0">
      <selection activeCell="A14" sqref="A14:C14"/>
    </sheetView>
  </sheetViews>
  <sheetFormatPr defaultColWidth="8.875" defaultRowHeight="19.5"/>
  <cols>
    <col min="1" max="1" width="20.5" style="14" bestFit="1" customWidth="1"/>
    <col min="2" max="2" width="16.5" style="14" bestFit="1" customWidth="1"/>
    <col min="3" max="3" width="40" style="14" bestFit="1" customWidth="1"/>
    <col min="4" max="16384" width="8.875" style="14"/>
  </cols>
  <sheetData>
    <row r="1" spans="1:3" ht="26.1" customHeight="1">
      <c r="A1" s="123" t="s">
        <v>42</v>
      </c>
      <c r="B1" s="124"/>
      <c r="C1" s="124"/>
    </row>
    <row r="2" spans="1:3">
      <c r="A2" s="38"/>
      <c r="B2" s="38"/>
      <c r="C2" s="38"/>
    </row>
    <row r="3" spans="1:3" ht="21.95" customHeight="1">
      <c r="A3" s="125" t="s">
        <v>354</v>
      </c>
      <c r="B3" s="125"/>
      <c r="C3" s="125"/>
    </row>
    <row r="4" spans="1:3">
      <c r="A4" s="40" t="s">
        <v>176</v>
      </c>
      <c r="B4" s="60">
        <f>_xlfn.LET(_xlpm.raw,IFERROR('Data Queries'!B2,""),_xlpm.q,IFERROR(IF(ISNUMBER(_xlpm.raw),_xlpm.raw,_xlfn.NUMBERVALUE(SUBSTITUTE(_xlpm.raw,"%",""))/100),0),IF(AND('Model Inputs'!$C$17,'Model Inputs'!$B$17&lt;&gt;0),'Model Inputs'!$B$17,IF(_xlpm.q&gt;0,_xlpm.q,'Model Inputs'!$B$17)))</f>
        <v>4.623E-2</v>
      </c>
      <c r="C4" s="56" t="s">
        <v>207</v>
      </c>
    </row>
    <row r="5" spans="1:3">
      <c r="A5" s="40" t="s">
        <v>43</v>
      </c>
      <c r="B5" s="60">
        <f>'Model Inputs'!B18</f>
        <v>0.05</v>
      </c>
      <c r="C5" s="56" t="s">
        <v>208</v>
      </c>
    </row>
    <row r="6" spans="1:3">
      <c r="A6" s="40" t="s">
        <v>175</v>
      </c>
      <c r="B6" s="84">
        <f>_xlfn.LET(_xlpm.raw,IFERROR('Data Queries'!E11,0),_xlpm.q,IFERROR(_xlfn.NUMBERVALUE(_xlpm.raw),0),_xlpm.manual,'Model Inputs'!$B$16,IF(AND('Model Inputs'!$C$16,_xlpm.manual&lt;&gt;0),_xlpm.manual,IF(_xlpm.q&gt;0,_xlpm.q,_xlpm.manual)))</f>
        <v>1.07</v>
      </c>
      <c r="C6" s="56" t="s">
        <v>209</v>
      </c>
    </row>
    <row r="7" spans="1:3">
      <c r="A7" s="40" t="s">
        <v>44</v>
      </c>
      <c r="B7" s="81">
        <f>B4+B6*B5</f>
        <v>9.9730000000000013E-2</v>
      </c>
      <c r="C7" s="56" t="s">
        <v>210</v>
      </c>
    </row>
    <row r="8" spans="1:3">
      <c r="A8" s="40"/>
      <c r="B8" s="70"/>
      <c r="C8" s="56"/>
    </row>
    <row r="9" spans="1:3" ht="21.95" customHeight="1">
      <c r="A9" s="125" t="s">
        <v>45</v>
      </c>
      <c r="B9" s="125"/>
      <c r="C9" s="129"/>
    </row>
    <row r="10" spans="1:3">
      <c r="A10" s="40" t="s">
        <v>46</v>
      </c>
      <c r="B10" s="60">
        <f>_xlfn.LET(_xlpm.q,ABS(IFERROR(INDEX(Cost_of_Debt[Pre-Tax Cost of Debt],1),0)),_xlpm.fy,IFERROR(INDEX(Cost_of_Debt[FY],1),0),IF(AND('Model Inputs'!$C$19,'Model Inputs'!$B$19&lt;&gt;0),'Model Inputs'!$B$19,IF(AND(_xlpm.fy='Model Inputs'!$B$39,_xlpm.q&gt;0,_xlpm.q&lt;0.3),_xlpm.q,'Model Inputs'!$B$19)))</f>
        <v>0</v>
      </c>
      <c r="C10" s="56" t="s">
        <v>211</v>
      </c>
    </row>
    <row r="11" spans="1:3">
      <c r="A11" s="40" t="s">
        <v>47</v>
      </c>
      <c r="B11" s="60">
        <f>'Model Inputs'!B31</f>
        <v>0.15610002335586043</v>
      </c>
      <c r="C11" s="56" t="s">
        <v>212</v>
      </c>
    </row>
    <row r="12" spans="1:3">
      <c r="A12" s="40" t="s">
        <v>48</v>
      </c>
      <c r="B12" s="81">
        <f>B10*(1-B11)</f>
        <v>0</v>
      </c>
      <c r="C12" s="56" t="s">
        <v>213</v>
      </c>
    </row>
    <row r="13" spans="1:3">
      <c r="A13" s="40"/>
      <c r="B13" s="38"/>
      <c r="C13" s="56"/>
    </row>
    <row r="14" spans="1:3" ht="21.95" customHeight="1">
      <c r="A14" s="125" t="s">
        <v>355</v>
      </c>
      <c r="B14" s="125"/>
      <c r="C14" s="129"/>
    </row>
    <row r="15" spans="1:3">
      <c r="A15" s="40" t="s">
        <v>214</v>
      </c>
      <c r="B15" s="51">
        <f>'Model Inputs'!B27</f>
        <v>4400988977520</v>
      </c>
      <c r="C15" s="56" t="str">
        <f t="shared" ref="C15:C21" ca="1" si="0">_xlfn.FORMULATEXT(B15)</f>
        <v>='Model Inputs'!B27</v>
      </c>
    </row>
    <row r="16" spans="1:3">
      <c r="A16" s="40" t="s">
        <v>215</v>
      </c>
      <c r="B16" s="51">
        <f>'Model Inputs'!B35</f>
        <v>90678000000</v>
      </c>
      <c r="C16" s="56" t="str">
        <f t="shared" ca="1" si="0"/>
        <v>='Model Inputs'!B35</v>
      </c>
    </row>
    <row r="17" spans="1:3">
      <c r="A17" s="40" t="s">
        <v>96</v>
      </c>
      <c r="B17" s="51">
        <f>'Model Inputs'!B34</f>
        <v>35934000000</v>
      </c>
      <c r="C17" s="56" t="str">
        <f t="shared" ca="1" si="0"/>
        <v>='Model Inputs'!B34</v>
      </c>
    </row>
    <row r="18" spans="1:3">
      <c r="A18" s="40" t="s">
        <v>216</v>
      </c>
      <c r="B18" s="51">
        <f>'Model Inputs'!B36</f>
        <v>54744000000</v>
      </c>
      <c r="C18" s="56" t="str">
        <f t="shared" ca="1" si="0"/>
        <v>='Model Inputs'!B36</v>
      </c>
    </row>
    <row r="19" spans="1:3">
      <c r="A19" s="40" t="s">
        <v>217</v>
      </c>
      <c r="B19" s="51">
        <f>B15+B16</f>
        <v>4491666977520</v>
      </c>
      <c r="C19" s="56" t="str">
        <f t="shared" ca="1" si="0"/>
        <v>=B15+B16</v>
      </c>
    </row>
    <row r="20" spans="1:3">
      <c r="A20" s="40" t="s">
        <v>49</v>
      </c>
      <c r="B20" s="60">
        <f>IFERROR(B15/B19,0)</f>
        <v>0.979811949449096</v>
      </c>
      <c r="C20" s="56" t="str">
        <f t="shared" ca="1" si="0"/>
        <v>=IFERROR(B15/B19,0)</v>
      </c>
    </row>
    <row r="21" spans="1:3">
      <c r="A21" s="40" t="s">
        <v>50</v>
      </c>
      <c r="B21" s="60">
        <f>IFERROR(B16/B19,0)</f>
        <v>2.0188050550904012E-2</v>
      </c>
      <c r="C21" s="56" t="str">
        <f t="shared" ca="1" si="0"/>
        <v>=IFERROR(B16/B19,0)</v>
      </c>
    </row>
    <row r="22" spans="1:3">
      <c r="A22" s="40" t="s">
        <v>15</v>
      </c>
      <c r="B22" s="81">
        <f>B7*B20+B12*B21</f>
        <v>9.7716645718558356E-2</v>
      </c>
      <c r="C22" s="85" t="str">
        <f ca="1">_xlfn.FORMULATEXT(B22)</f>
        <v>=B7*B20+B12*B21</v>
      </c>
    </row>
  </sheetData>
  <sheetProtection formatCells="0" formatColumns="0" formatRows="0" sort="0" autoFilter="0"/>
  <mergeCells count="4">
    <mergeCell ref="A1:C1"/>
    <mergeCell ref="A3:C3"/>
    <mergeCell ref="A9:C9"/>
    <mergeCell ref="A14:C14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E4F3-C2B9-40A7-A306-B57A87ED7119}">
  <sheetPr>
    <tabColor rgb="FF7D7D7D"/>
  </sheetPr>
  <dimension ref="A1:B15"/>
  <sheetViews>
    <sheetView showGridLines="0" zoomScale="175" zoomScaleNormal="175" workbookViewId="0">
      <selection activeCell="A8" sqref="A8"/>
    </sheetView>
  </sheetViews>
  <sheetFormatPr defaultRowHeight="15.75"/>
  <cols>
    <col min="1" max="1" width="27" style="1" bestFit="1" customWidth="1"/>
    <col min="2" max="2" width="105.75" style="1" bestFit="1" customWidth="1"/>
    <col min="3" max="16384" width="9" style="1"/>
  </cols>
  <sheetData>
    <row r="1" spans="1:2" ht="26.1" customHeight="1">
      <c r="A1" s="130" t="s">
        <v>301</v>
      </c>
      <c r="B1" s="131"/>
    </row>
    <row r="2" spans="1:2">
      <c r="A2" s="86"/>
      <c r="B2" s="86"/>
    </row>
    <row r="3" spans="1:2">
      <c r="A3" s="53" t="s">
        <v>302</v>
      </c>
      <c r="B3" s="37" t="s">
        <v>361</v>
      </c>
    </row>
    <row r="4" spans="1:2">
      <c r="A4" s="86" t="s">
        <v>303</v>
      </c>
      <c r="B4" s="87">
        <f>_xlfn.XLOOKUP("Accounts Receivable, Net",EDGAR_BalanceSheet[Line Item],EDGAR_BalanceSheet[Value (USD)],0,0)</f>
        <v>39777000000</v>
      </c>
    </row>
    <row r="5" spans="1:2">
      <c r="A5" s="86" t="s">
        <v>99</v>
      </c>
      <c r="B5" s="87">
        <f>_xlfn.XLOOKUP("Inventory",EDGAR_BalanceSheet[Line Item],EDGAR_BalanceSheet[Value (USD)],0,0)</f>
        <v>5718000000</v>
      </c>
    </row>
    <row r="6" spans="1:2">
      <c r="A6" s="86" t="s">
        <v>100</v>
      </c>
      <c r="B6" s="87">
        <f>_xlfn.XLOOKUP("Other Current Assets",EDGAR_BalanceSheet[Line Item],EDGAR_BalanceSheet[Value (USD)],0,0)</f>
        <v>47765000000</v>
      </c>
    </row>
    <row r="7" spans="1:2">
      <c r="A7" s="86" t="s">
        <v>107</v>
      </c>
      <c r="B7" s="87">
        <f>_xlfn.XLOOKUP("Accounts Payable",EDGAR_BalanceSheet[Line Item],EDGAR_BalanceSheet[Value (USD)],0,0)</f>
        <v>69860000000</v>
      </c>
    </row>
    <row r="8" spans="1:2">
      <c r="A8" s="86" t="s">
        <v>108</v>
      </c>
      <c r="B8" s="87">
        <f>_xlfn.XLOOKUP("Accrued Liabilities",EDGAR_BalanceSheet[Line Item],EDGAR_BalanceSheet[Value (USD)],0,0)</f>
        <v>13016000000</v>
      </c>
    </row>
    <row r="9" spans="1:2">
      <c r="A9" s="86" t="s">
        <v>110</v>
      </c>
      <c r="B9" s="87">
        <f>_xlfn.XLOOKUP("Other Current Liabilities",EDGAR_BalanceSheet[Line Item],EDGAR_BalanceSheet[Value (USD)],0,0)</f>
        <v>70405000000</v>
      </c>
    </row>
    <row r="10" spans="1:2">
      <c r="A10" s="86" t="s">
        <v>304</v>
      </c>
      <c r="B10" s="87">
        <f>B4+B5+B6-B7-B8-B9</f>
        <v>-60021000000</v>
      </c>
    </row>
    <row r="11" spans="1:2">
      <c r="A11" s="86" t="s">
        <v>21</v>
      </c>
      <c r="B11" s="87">
        <f>_xlfn.XLOOKUP("Total Revenue",EDGAR_IncomeStatement[Line Item],EDGAR_IncomeStatement[Value],0,0)</f>
        <v>416161000000</v>
      </c>
    </row>
    <row r="12" spans="1:2">
      <c r="A12" s="86" t="s">
        <v>305</v>
      </c>
      <c r="B12" s="88">
        <f>IFERROR(B10/B11,0)</f>
        <v>-0.14422543198425608</v>
      </c>
    </row>
    <row r="13" spans="1:2">
      <c r="A13" s="86" t="s">
        <v>306</v>
      </c>
      <c r="B13" s="88">
        <f>DCF!B34</f>
        <v>0.03</v>
      </c>
    </row>
    <row r="14" spans="1:2">
      <c r="A14" s="86"/>
      <c r="B14" s="86"/>
    </row>
    <row r="15" spans="1:2">
      <c r="A15" s="86" t="s">
        <v>307</v>
      </c>
      <c r="B15" s="86" t="s">
        <v>308</v>
      </c>
    </row>
  </sheetData>
  <sheetProtection formatCells="0" formatColumns="0" formatRows="0" sort="0" autoFilter="0"/>
  <mergeCells count="1">
    <mergeCell ref="A1:B1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8614-06A7-48F5-80D1-7A12ED6D1DB1}">
  <sheetPr>
    <tabColor rgb="FF3A3939"/>
  </sheetPr>
  <dimension ref="B1:W34"/>
  <sheetViews>
    <sheetView showGridLines="0" zoomScale="145" zoomScaleNormal="145" workbookViewId="0">
      <selection activeCell="D30" sqref="A1:XFD1048576"/>
    </sheetView>
  </sheetViews>
  <sheetFormatPr defaultRowHeight="19.5"/>
  <cols>
    <col min="1" max="1" width="5" style="14" customWidth="1"/>
    <col min="2" max="2" width="8.5" style="14" bestFit="1" customWidth="1"/>
    <col min="3" max="3" width="23.625" style="14" bestFit="1" customWidth="1"/>
    <col min="4" max="4" width="14.625" style="14" bestFit="1" customWidth="1"/>
    <col min="5" max="5" width="9.75" style="14" bestFit="1" customWidth="1"/>
    <col min="6" max="6" width="4.625" style="14" bestFit="1" customWidth="1"/>
    <col min="7" max="7" width="9.25" style="14" bestFit="1" customWidth="1"/>
    <col min="8" max="9" width="5" style="14" customWidth="1"/>
    <col min="10" max="10" width="4.625" style="14" bestFit="1" customWidth="1"/>
    <col min="11" max="11" width="8.875" style="14" bestFit="1" customWidth="1"/>
    <col min="12" max="12" width="31.75" style="14" bestFit="1" customWidth="1"/>
    <col min="13" max="13" width="14.5" style="14" bestFit="1" customWidth="1"/>
    <col min="14" max="14" width="9.75" style="14" bestFit="1" customWidth="1"/>
    <col min="15" max="15" width="9.25" style="14" bestFit="1" customWidth="1"/>
    <col min="16" max="16" width="15" style="14" customWidth="1"/>
    <col min="17" max="17" width="5" style="14" customWidth="1"/>
    <col min="18" max="18" width="4.625" style="14" bestFit="1" customWidth="1"/>
    <col min="19" max="19" width="8.875" style="14" bestFit="1" customWidth="1"/>
    <col min="20" max="20" width="31" style="14" bestFit="1" customWidth="1"/>
    <col min="21" max="21" width="15.5" style="14" bestFit="1" customWidth="1"/>
    <col min="22" max="22" width="9.75" style="14" bestFit="1" customWidth="1"/>
    <col min="23" max="23" width="9.25" style="14" bestFit="1" customWidth="1"/>
    <col min="24" max="16384" width="9" style="14"/>
  </cols>
  <sheetData>
    <row r="1" spans="2:23" ht="26.1" customHeight="1">
      <c r="B1" s="130" t="s">
        <v>123</v>
      </c>
      <c r="C1" s="131"/>
      <c r="D1" s="131"/>
      <c r="E1" s="131"/>
      <c r="F1" s="131"/>
      <c r="G1" s="131"/>
      <c r="H1" s="89"/>
      <c r="I1" s="89"/>
      <c r="J1" s="131" t="s">
        <v>138</v>
      </c>
      <c r="K1" s="131"/>
      <c r="L1" s="131"/>
      <c r="M1" s="131"/>
      <c r="N1" s="131"/>
      <c r="O1" s="131"/>
      <c r="P1" s="90"/>
      <c r="Q1" s="89"/>
      <c r="R1" s="131" t="s">
        <v>238</v>
      </c>
      <c r="S1" s="131"/>
      <c r="T1" s="131"/>
      <c r="U1" s="131"/>
      <c r="V1" s="131"/>
      <c r="W1" s="131"/>
    </row>
    <row r="2" spans="2:23">
      <c r="B2" s="53" t="s">
        <v>82</v>
      </c>
      <c r="C2" s="37" t="s">
        <v>93</v>
      </c>
      <c r="D2" s="91" t="s">
        <v>94</v>
      </c>
      <c r="E2" s="37" t="s">
        <v>95</v>
      </c>
      <c r="F2" s="37" t="s">
        <v>85</v>
      </c>
      <c r="G2" s="39" t="s">
        <v>88</v>
      </c>
      <c r="H2" s="38"/>
      <c r="I2" s="38"/>
      <c r="J2" s="37" t="s">
        <v>85</v>
      </c>
      <c r="K2" s="37" t="s">
        <v>82</v>
      </c>
      <c r="L2" s="37" t="s">
        <v>93</v>
      </c>
      <c r="M2" s="37" t="s">
        <v>52</v>
      </c>
      <c r="N2" s="37" t="s">
        <v>95</v>
      </c>
      <c r="O2" s="37" t="s">
        <v>88</v>
      </c>
      <c r="P2" s="37"/>
      <c r="Q2" s="38"/>
      <c r="R2" s="37" t="s">
        <v>85</v>
      </c>
      <c r="S2" s="37" t="s">
        <v>82</v>
      </c>
      <c r="T2" s="37" t="s">
        <v>93</v>
      </c>
      <c r="U2" s="37" t="s">
        <v>94</v>
      </c>
      <c r="V2" s="37" t="s">
        <v>95</v>
      </c>
      <c r="W2" s="37" t="s">
        <v>88</v>
      </c>
    </row>
    <row r="3" spans="2:23">
      <c r="B3" s="38" t="s">
        <v>507</v>
      </c>
      <c r="C3" s="40" t="s">
        <v>96</v>
      </c>
      <c r="D3" s="20">
        <v>35934000000</v>
      </c>
      <c r="E3" s="21">
        <v>45927</v>
      </c>
      <c r="F3" s="22">
        <v>2025</v>
      </c>
      <c r="G3" s="21">
        <v>45961</v>
      </c>
      <c r="H3" s="38"/>
      <c r="I3" s="38"/>
      <c r="J3" s="22">
        <v>2025</v>
      </c>
      <c r="K3" s="38" t="s">
        <v>507</v>
      </c>
      <c r="L3" s="40" t="s">
        <v>124</v>
      </c>
      <c r="M3" s="20">
        <v>416161000000</v>
      </c>
      <c r="N3" s="21">
        <v>45927</v>
      </c>
      <c r="O3" s="21">
        <v>45961</v>
      </c>
      <c r="P3" s="38"/>
      <c r="Q3" s="38"/>
      <c r="R3" s="22">
        <v>2025</v>
      </c>
      <c r="S3" s="38" t="s">
        <v>507</v>
      </c>
      <c r="T3" s="40" t="s">
        <v>137</v>
      </c>
      <c r="U3" s="20">
        <v>112010000000</v>
      </c>
      <c r="V3" s="21">
        <v>45927</v>
      </c>
      <c r="W3" s="21">
        <v>45961</v>
      </c>
    </row>
    <row r="4" spans="2:23">
      <c r="B4" s="38" t="s">
        <v>507</v>
      </c>
      <c r="C4" s="40" t="s">
        <v>97</v>
      </c>
      <c r="D4" s="20">
        <v>18763000000</v>
      </c>
      <c r="E4" s="21">
        <v>45927</v>
      </c>
      <c r="F4" s="22">
        <v>2025</v>
      </c>
      <c r="G4" s="21">
        <v>45961</v>
      </c>
      <c r="H4" s="38"/>
      <c r="I4" s="38"/>
      <c r="J4" s="92">
        <v>2025</v>
      </c>
      <c r="K4" s="38" t="s">
        <v>507</v>
      </c>
      <c r="L4" s="40" t="s">
        <v>125</v>
      </c>
      <c r="M4" s="43">
        <v>220960000000</v>
      </c>
      <c r="N4" s="93">
        <v>45927</v>
      </c>
      <c r="O4" s="93">
        <v>45961</v>
      </c>
      <c r="P4" s="38"/>
      <c r="Q4" s="38"/>
      <c r="R4" s="22">
        <v>2025</v>
      </c>
      <c r="S4" s="38" t="s">
        <v>507</v>
      </c>
      <c r="T4" s="40" t="s">
        <v>130</v>
      </c>
      <c r="U4" s="20">
        <v>11698000000</v>
      </c>
      <c r="V4" s="21">
        <v>45927</v>
      </c>
      <c r="W4" s="21">
        <v>45961</v>
      </c>
    </row>
    <row r="5" spans="2:23">
      <c r="B5" s="38" t="s">
        <v>507</v>
      </c>
      <c r="C5" s="40" t="s">
        <v>98</v>
      </c>
      <c r="D5" s="20">
        <v>39777000000</v>
      </c>
      <c r="E5" s="21">
        <v>45927</v>
      </c>
      <c r="F5" s="22">
        <v>2025</v>
      </c>
      <c r="G5" s="21">
        <v>45961</v>
      </c>
      <c r="H5" s="38"/>
      <c r="I5" s="38"/>
      <c r="J5" s="92">
        <v>2025</v>
      </c>
      <c r="K5" s="38" t="s">
        <v>507</v>
      </c>
      <c r="L5" s="40" t="s">
        <v>126</v>
      </c>
      <c r="M5" s="43">
        <v>220960000000</v>
      </c>
      <c r="N5" s="93">
        <v>45927</v>
      </c>
      <c r="O5" s="93">
        <v>45961</v>
      </c>
      <c r="P5" s="38"/>
      <c r="Q5" s="38"/>
      <c r="R5" s="22">
        <v>2025</v>
      </c>
      <c r="S5" s="38" t="s">
        <v>507</v>
      </c>
      <c r="T5" s="40" t="s">
        <v>139</v>
      </c>
      <c r="U5" s="20">
        <v>12863000000</v>
      </c>
      <c r="V5" s="21">
        <v>45927</v>
      </c>
      <c r="W5" s="21">
        <v>45961</v>
      </c>
    </row>
    <row r="6" spans="2:23">
      <c r="B6" s="38" t="s">
        <v>507</v>
      </c>
      <c r="C6" s="40" t="s">
        <v>99</v>
      </c>
      <c r="D6" s="43">
        <v>5718000000</v>
      </c>
      <c r="E6" s="93">
        <v>45927</v>
      </c>
      <c r="F6" s="92">
        <v>2025</v>
      </c>
      <c r="G6" s="93">
        <v>45961</v>
      </c>
      <c r="H6" s="38"/>
      <c r="I6" s="38"/>
      <c r="J6" s="94">
        <v>2025</v>
      </c>
      <c r="K6" s="64" t="s">
        <v>507</v>
      </c>
      <c r="L6" s="95" t="s">
        <v>127</v>
      </c>
      <c r="M6" s="44">
        <v>195201000000</v>
      </c>
      <c r="N6" s="96">
        <v>45927</v>
      </c>
      <c r="O6" s="96">
        <v>45961</v>
      </c>
      <c r="P6" s="64"/>
      <c r="Q6" s="38"/>
      <c r="R6" s="22"/>
      <c r="S6" s="38" t="s">
        <v>507</v>
      </c>
      <c r="T6" s="40" t="s">
        <v>140</v>
      </c>
      <c r="U6" s="20"/>
      <c r="V6" s="21"/>
      <c r="W6" s="21"/>
    </row>
    <row r="7" spans="2:23">
      <c r="B7" s="38" t="s">
        <v>507</v>
      </c>
      <c r="C7" s="40" t="s">
        <v>100</v>
      </c>
      <c r="D7" s="20">
        <v>47765000000</v>
      </c>
      <c r="E7" s="21">
        <v>45927</v>
      </c>
      <c r="F7" s="22">
        <v>2025</v>
      </c>
      <c r="G7" s="21">
        <v>45961</v>
      </c>
      <c r="H7" s="38"/>
      <c r="I7" s="38"/>
      <c r="J7" s="22">
        <v>2025</v>
      </c>
      <c r="K7" s="38" t="s">
        <v>507</v>
      </c>
      <c r="L7" s="40" t="s">
        <v>128</v>
      </c>
      <c r="M7" s="20">
        <v>34550000000</v>
      </c>
      <c r="N7" s="21">
        <v>45927</v>
      </c>
      <c r="O7" s="21">
        <v>45961</v>
      </c>
      <c r="P7" s="38"/>
      <c r="Q7" s="38"/>
      <c r="R7" s="22">
        <v>2025</v>
      </c>
      <c r="S7" s="38" t="s">
        <v>507</v>
      </c>
      <c r="T7" s="40" t="s">
        <v>233</v>
      </c>
      <c r="U7" s="20">
        <v>6682000000</v>
      </c>
      <c r="V7" s="21">
        <v>45927</v>
      </c>
      <c r="W7" s="21">
        <v>45961</v>
      </c>
    </row>
    <row r="8" spans="2:23">
      <c r="B8" s="38" t="s">
        <v>507</v>
      </c>
      <c r="C8" s="95" t="s">
        <v>101</v>
      </c>
      <c r="D8" s="23">
        <v>147957000000</v>
      </c>
      <c r="E8" s="24">
        <v>45927</v>
      </c>
      <c r="F8" s="25">
        <v>2025</v>
      </c>
      <c r="G8" s="24">
        <v>45961</v>
      </c>
      <c r="H8" s="38"/>
      <c r="I8" s="38"/>
      <c r="J8" s="22">
        <v>2025</v>
      </c>
      <c r="K8" s="38" t="s">
        <v>507</v>
      </c>
      <c r="L8" s="40" t="s">
        <v>129</v>
      </c>
      <c r="M8" s="20">
        <v>27601000000</v>
      </c>
      <c r="N8" s="21">
        <v>45927</v>
      </c>
      <c r="O8" s="21">
        <v>45961</v>
      </c>
      <c r="P8" s="38"/>
      <c r="Q8" s="38"/>
      <c r="R8" s="92">
        <v>2025</v>
      </c>
      <c r="S8" s="38" t="s">
        <v>507</v>
      </c>
      <c r="T8" s="40" t="s">
        <v>234</v>
      </c>
      <c r="U8" s="43">
        <v>-1400000000</v>
      </c>
      <c r="V8" s="93">
        <v>45927</v>
      </c>
      <c r="W8" s="93">
        <v>45961</v>
      </c>
    </row>
    <row r="9" spans="2:23">
      <c r="B9" s="38" t="s">
        <v>507</v>
      </c>
      <c r="C9" s="40" t="s">
        <v>102</v>
      </c>
      <c r="D9" s="20">
        <v>49834000000</v>
      </c>
      <c r="E9" s="21">
        <v>45927</v>
      </c>
      <c r="F9" s="22">
        <v>2025</v>
      </c>
      <c r="G9" s="21">
        <v>45961</v>
      </c>
      <c r="H9" s="38"/>
      <c r="I9" s="38"/>
      <c r="J9" s="22">
        <v>2025</v>
      </c>
      <c r="K9" s="38" t="s">
        <v>507</v>
      </c>
      <c r="L9" s="40" t="s">
        <v>130</v>
      </c>
      <c r="M9" s="20">
        <v>11698000000</v>
      </c>
      <c r="N9" s="21">
        <v>45927</v>
      </c>
      <c r="O9" s="21">
        <v>45961</v>
      </c>
      <c r="P9" s="38"/>
      <c r="Q9" s="38"/>
      <c r="R9" s="22">
        <v>2025</v>
      </c>
      <c r="S9" s="38" t="s">
        <v>507</v>
      </c>
      <c r="T9" s="40" t="s">
        <v>235</v>
      </c>
      <c r="U9" s="20">
        <v>902000000</v>
      </c>
      <c r="V9" s="21">
        <v>45927</v>
      </c>
      <c r="W9" s="21">
        <v>45961</v>
      </c>
    </row>
    <row r="10" spans="2:23">
      <c r="B10" s="38" t="s">
        <v>507</v>
      </c>
      <c r="C10" s="40" t="s">
        <v>103</v>
      </c>
      <c r="D10" s="20"/>
      <c r="E10" s="21"/>
      <c r="F10" s="22"/>
      <c r="G10" s="21"/>
      <c r="H10" s="38"/>
      <c r="I10" s="38"/>
      <c r="J10" s="25">
        <v>2025</v>
      </c>
      <c r="K10" s="64" t="s">
        <v>507</v>
      </c>
      <c r="L10" s="95" t="s">
        <v>131</v>
      </c>
      <c r="M10" s="23">
        <v>62151000000</v>
      </c>
      <c r="N10" s="24">
        <v>45927</v>
      </c>
      <c r="O10" s="24">
        <v>45961</v>
      </c>
      <c r="P10" s="64"/>
      <c r="Q10" s="38"/>
      <c r="R10" s="22"/>
      <c r="S10" s="38" t="s">
        <v>507</v>
      </c>
      <c r="T10" s="40" t="s">
        <v>236</v>
      </c>
      <c r="U10" s="20"/>
      <c r="V10" s="21"/>
      <c r="W10" s="21"/>
    </row>
    <row r="11" spans="2:23">
      <c r="B11" s="38" t="s">
        <v>507</v>
      </c>
      <c r="C11" s="40" t="s">
        <v>104</v>
      </c>
      <c r="D11" s="20"/>
      <c r="E11" s="21"/>
      <c r="F11" s="22"/>
      <c r="G11" s="21"/>
      <c r="H11" s="38"/>
      <c r="I11" s="38"/>
      <c r="J11" s="25">
        <v>2025</v>
      </c>
      <c r="K11" s="64" t="s">
        <v>507</v>
      </c>
      <c r="L11" s="95" t="s">
        <v>132</v>
      </c>
      <c r="M11" s="23">
        <v>133050000000</v>
      </c>
      <c r="N11" s="24">
        <v>45927</v>
      </c>
      <c r="O11" s="24">
        <v>45961</v>
      </c>
      <c r="P11" s="64"/>
      <c r="Q11" s="38"/>
      <c r="R11" s="25">
        <v>2025</v>
      </c>
      <c r="S11" s="64" t="s">
        <v>507</v>
      </c>
      <c r="T11" s="95" t="s">
        <v>141</v>
      </c>
      <c r="U11" s="23">
        <v>111482000000</v>
      </c>
      <c r="V11" s="24">
        <v>45927</v>
      </c>
      <c r="W11" s="24">
        <v>45961</v>
      </c>
    </row>
    <row r="12" spans="2:23">
      <c r="B12" s="38" t="s">
        <v>507</v>
      </c>
      <c r="C12" s="40" t="s">
        <v>105</v>
      </c>
      <c r="D12" s="20">
        <v>83727000000</v>
      </c>
      <c r="E12" s="21">
        <v>45927</v>
      </c>
      <c r="F12" s="22">
        <v>2025</v>
      </c>
      <c r="G12" s="21">
        <v>45961</v>
      </c>
      <c r="H12" s="38"/>
      <c r="I12" s="38"/>
      <c r="J12" s="92"/>
      <c r="K12" s="38" t="s">
        <v>507</v>
      </c>
      <c r="L12" s="40" t="s">
        <v>133</v>
      </c>
      <c r="M12" s="43"/>
      <c r="N12" s="93"/>
      <c r="O12" s="93"/>
      <c r="P12" s="38"/>
      <c r="Q12" s="38"/>
      <c r="R12" s="22">
        <v>2025</v>
      </c>
      <c r="S12" s="38" t="s">
        <v>507</v>
      </c>
      <c r="T12" s="40" t="s">
        <v>142</v>
      </c>
      <c r="U12" s="20">
        <v>12715000000</v>
      </c>
      <c r="V12" s="21">
        <v>45927</v>
      </c>
      <c r="W12" s="21">
        <v>45961</v>
      </c>
    </row>
    <row r="13" spans="2:23">
      <c r="B13" s="38" t="s">
        <v>507</v>
      </c>
      <c r="C13" s="95" t="s">
        <v>106</v>
      </c>
      <c r="D13" s="23">
        <v>359241000000</v>
      </c>
      <c r="E13" s="24">
        <v>45927</v>
      </c>
      <c r="F13" s="25">
        <v>2025</v>
      </c>
      <c r="G13" s="24">
        <v>45961</v>
      </c>
      <c r="H13" s="38"/>
      <c r="I13" s="38"/>
      <c r="J13" s="22">
        <v>2025</v>
      </c>
      <c r="K13" s="38" t="s">
        <v>507</v>
      </c>
      <c r="L13" s="40" t="s">
        <v>134</v>
      </c>
      <c r="M13" s="20">
        <v>-321000000</v>
      </c>
      <c r="N13" s="21">
        <v>45927</v>
      </c>
      <c r="O13" s="21">
        <v>45961</v>
      </c>
      <c r="P13" s="38"/>
      <c r="Q13" s="38"/>
      <c r="R13" s="22"/>
      <c r="S13" s="38" t="s">
        <v>507</v>
      </c>
      <c r="T13" s="40" t="s">
        <v>143</v>
      </c>
      <c r="U13" s="20"/>
      <c r="V13" s="21"/>
      <c r="W13" s="21"/>
    </row>
    <row r="14" spans="2:23">
      <c r="B14" s="38" t="s">
        <v>507</v>
      </c>
      <c r="C14" s="40" t="s">
        <v>107</v>
      </c>
      <c r="D14" s="20">
        <v>69860000000</v>
      </c>
      <c r="E14" s="21">
        <v>45927</v>
      </c>
      <c r="F14" s="22">
        <v>2025</v>
      </c>
      <c r="G14" s="21">
        <v>45961</v>
      </c>
      <c r="H14" s="38"/>
      <c r="I14" s="38"/>
      <c r="J14" s="25">
        <v>2025</v>
      </c>
      <c r="K14" s="64" t="s">
        <v>507</v>
      </c>
      <c r="L14" s="95" t="s">
        <v>135</v>
      </c>
      <c r="M14" s="23">
        <v>132729000000</v>
      </c>
      <c r="N14" s="24">
        <v>45927</v>
      </c>
      <c r="O14" s="24">
        <v>45961</v>
      </c>
      <c r="P14" s="64"/>
      <c r="Q14" s="38"/>
      <c r="R14" s="92"/>
      <c r="S14" s="38" t="s">
        <v>507</v>
      </c>
      <c r="T14" s="40" t="s">
        <v>144</v>
      </c>
      <c r="U14" s="43"/>
      <c r="V14" s="93"/>
      <c r="W14" s="93"/>
    </row>
    <row r="15" spans="2:23">
      <c r="B15" s="38" t="s">
        <v>507</v>
      </c>
      <c r="C15" s="40" t="s">
        <v>108</v>
      </c>
      <c r="D15" s="43">
        <v>13016000000</v>
      </c>
      <c r="E15" s="93">
        <v>45927</v>
      </c>
      <c r="F15" s="92">
        <v>2025</v>
      </c>
      <c r="G15" s="93">
        <v>45961</v>
      </c>
      <c r="H15" s="38"/>
      <c r="I15" s="38"/>
      <c r="J15" s="22">
        <v>2025</v>
      </c>
      <c r="K15" s="38" t="s">
        <v>507</v>
      </c>
      <c r="L15" s="40" t="s">
        <v>136</v>
      </c>
      <c r="M15" s="20">
        <v>20719000000</v>
      </c>
      <c r="N15" s="21">
        <v>45927</v>
      </c>
      <c r="O15" s="21">
        <v>45961</v>
      </c>
      <c r="P15" s="38"/>
      <c r="Q15" s="38"/>
      <c r="R15" s="92"/>
      <c r="S15" s="38" t="s">
        <v>507</v>
      </c>
      <c r="T15" s="40" t="s">
        <v>145</v>
      </c>
      <c r="U15" s="43"/>
      <c r="V15" s="93"/>
      <c r="W15" s="93"/>
    </row>
    <row r="16" spans="2:23">
      <c r="B16" s="38" t="s">
        <v>507</v>
      </c>
      <c r="C16" s="40" t="s">
        <v>109</v>
      </c>
      <c r="D16" s="20">
        <v>12350000000</v>
      </c>
      <c r="E16" s="21">
        <v>45927</v>
      </c>
      <c r="F16" s="22">
        <v>2025</v>
      </c>
      <c r="G16" s="21">
        <v>45961</v>
      </c>
      <c r="H16" s="38"/>
      <c r="I16" s="38"/>
      <c r="J16" s="25">
        <v>2025</v>
      </c>
      <c r="K16" s="64" t="s">
        <v>507</v>
      </c>
      <c r="L16" s="95" t="s">
        <v>137</v>
      </c>
      <c r="M16" s="23">
        <v>112010000000</v>
      </c>
      <c r="N16" s="24">
        <v>45927</v>
      </c>
      <c r="O16" s="24">
        <v>45961</v>
      </c>
      <c r="P16" s="64"/>
      <c r="Q16" s="38"/>
      <c r="R16" s="92"/>
      <c r="S16" s="38" t="s">
        <v>507</v>
      </c>
      <c r="T16" s="40" t="s">
        <v>146</v>
      </c>
      <c r="U16" s="43"/>
      <c r="V16" s="93"/>
      <c r="W16" s="93"/>
    </row>
    <row r="17" spans="2:23">
      <c r="B17" s="38" t="s">
        <v>507</v>
      </c>
      <c r="C17" s="40" t="s">
        <v>110</v>
      </c>
      <c r="D17" s="20">
        <v>70405000000</v>
      </c>
      <c r="E17" s="21">
        <v>45927</v>
      </c>
      <c r="F17" s="22">
        <v>2025</v>
      </c>
      <c r="G17" s="21">
        <v>45961</v>
      </c>
      <c r="H17" s="38"/>
      <c r="I17" s="38"/>
      <c r="J17" s="22">
        <v>2025</v>
      </c>
      <c r="K17" s="38" t="s">
        <v>507</v>
      </c>
      <c r="L17" s="40" t="s">
        <v>229</v>
      </c>
      <c r="M17" s="26">
        <v>7.49</v>
      </c>
      <c r="N17" s="21">
        <v>45927</v>
      </c>
      <c r="O17" s="21">
        <v>45961</v>
      </c>
      <c r="P17" s="38"/>
      <c r="Q17" s="38"/>
      <c r="R17" s="25">
        <v>2025</v>
      </c>
      <c r="S17" s="64" t="s">
        <v>507</v>
      </c>
      <c r="T17" s="95" t="s">
        <v>147</v>
      </c>
      <c r="U17" s="23">
        <v>15195000000</v>
      </c>
      <c r="V17" s="24">
        <v>45927</v>
      </c>
      <c r="W17" s="24">
        <v>45961</v>
      </c>
    </row>
    <row r="18" spans="2:23">
      <c r="B18" s="38" t="s">
        <v>507</v>
      </c>
      <c r="C18" s="95" t="s">
        <v>111</v>
      </c>
      <c r="D18" s="23">
        <v>165631000000</v>
      </c>
      <c r="E18" s="24">
        <v>45927</v>
      </c>
      <c r="F18" s="25">
        <v>2025</v>
      </c>
      <c r="G18" s="24">
        <v>45961</v>
      </c>
      <c r="H18" s="38"/>
      <c r="I18" s="38"/>
      <c r="J18" s="22">
        <v>2025</v>
      </c>
      <c r="K18" s="38" t="s">
        <v>507</v>
      </c>
      <c r="L18" s="40" t="s">
        <v>230</v>
      </c>
      <c r="M18" s="26">
        <v>7.46</v>
      </c>
      <c r="N18" s="21">
        <v>45927</v>
      </c>
      <c r="O18" s="21">
        <v>45961</v>
      </c>
      <c r="P18" s="38"/>
      <c r="Q18" s="38"/>
      <c r="R18" s="22">
        <v>2025</v>
      </c>
      <c r="S18" s="38" t="s">
        <v>507</v>
      </c>
      <c r="T18" s="40" t="s">
        <v>148</v>
      </c>
      <c r="U18" s="20">
        <v>4481000000</v>
      </c>
      <c r="V18" s="21">
        <v>45927</v>
      </c>
      <c r="W18" s="21">
        <v>45961</v>
      </c>
    </row>
    <row r="19" spans="2:23">
      <c r="B19" s="38" t="s">
        <v>507</v>
      </c>
      <c r="C19" s="40" t="s">
        <v>112</v>
      </c>
      <c r="D19" s="20">
        <v>78328000000</v>
      </c>
      <c r="E19" s="21">
        <v>45927</v>
      </c>
      <c r="F19" s="22">
        <v>2025</v>
      </c>
      <c r="G19" s="21">
        <v>45961</v>
      </c>
      <c r="H19" s="38"/>
      <c r="I19" s="38"/>
      <c r="J19" s="22">
        <v>2025</v>
      </c>
      <c r="K19" s="38" t="s">
        <v>507</v>
      </c>
      <c r="L19" s="40" t="s">
        <v>231</v>
      </c>
      <c r="M19" s="27">
        <v>14948500000</v>
      </c>
      <c r="N19" s="21">
        <v>45927</v>
      </c>
      <c r="O19" s="21">
        <v>45961</v>
      </c>
      <c r="P19" s="38"/>
      <c r="Q19" s="38"/>
      <c r="R19" s="22">
        <v>2025</v>
      </c>
      <c r="S19" s="38" t="s">
        <v>507</v>
      </c>
      <c r="T19" s="40" t="s">
        <v>149</v>
      </c>
      <c r="U19" s="20">
        <v>10932000000</v>
      </c>
      <c r="V19" s="21">
        <v>45927</v>
      </c>
      <c r="W19" s="21">
        <v>45961</v>
      </c>
    </row>
    <row r="20" spans="2:23">
      <c r="B20" s="38" t="s">
        <v>507</v>
      </c>
      <c r="C20" s="40" t="s">
        <v>113</v>
      </c>
      <c r="D20" s="20">
        <v>7471000000</v>
      </c>
      <c r="E20" s="21">
        <v>45927</v>
      </c>
      <c r="F20" s="22">
        <v>2025</v>
      </c>
      <c r="G20" s="21">
        <v>45961</v>
      </c>
      <c r="H20" s="38"/>
      <c r="I20" s="38"/>
      <c r="J20" s="22">
        <v>2025</v>
      </c>
      <c r="K20" s="38" t="s">
        <v>507</v>
      </c>
      <c r="L20" s="40" t="s">
        <v>232</v>
      </c>
      <c r="M20" s="27">
        <v>15004697000</v>
      </c>
      <c r="N20" s="21">
        <v>45927</v>
      </c>
      <c r="O20" s="21">
        <v>45961</v>
      </c>
      <c r="P20" s="38"/>
      <c r="Q20" s="38"/>
      <c r="R20" s="22">
        <v>2025</v>
      </c>
      <c r="S20" s="38" t="s">
        <v>507</v>
      </c>
      <c r="T20" s="40" t="s">
        <v>150</v>
      </c>
      <c r="U20" s="20">
        <v>90711000000</v>
      </c>
      <c r="V20" s="21">
        <v>45927</v>
      </c>
      <c r="W20" s="21">
        <v>45961</v>
      </c>
    </row>
    <row r="21" spans="2:23">
      <c r="B21" s="38" t="s">
        <v>507</v>
      </c>
      <c r="C21" s="40" t="s">
        <v>114</v>
      </c>
      <c r="D21" s="20">
        <v>41549000000</v>
      </c>
      <c r="E21" s="21">
        <v>45927</v>
      </c>
      <c r="F21" s="22">
        <v>2025</v>
      </c>
      <c r="G21" s="21">
        <v>45961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92">
        <v>2025</v>
      </c>
      <c r="S21" s="38" t="s">
        <v>507</v>
      </c>
      <c r="T21" s="40" t="s">
        <v>151</v>
      </c>
      <c r="U21" s="43">
        <v>15421000000</v>
      </c>
      <c r="V21" s="93">
        <v>45927</v>
      </c>
      <c r="W21" s="93">
        <v>45961</v>
      </c>
    </row>
    <row r="22" spans="2:23">
      <c r="B22" s="38" t="s">
        <v>507</v>
      </c>
      <c r="C22" s="95" t="s">
        <v>115</v>
      </c>
      <c r="D22" s="23">
        <v>285508000000</v>
      </c>
      <c r="E22" s="24">
        <v>45927</v>
      </c>
      <c r="F22" s="25">
        <v>2025</v>
      </c>
      <c r="G22" s="24">
        <v>45961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25">
        <v>2025</v>
      </c>
      <c r="S22" s="64" t="s">
        <v>507</v>
      </c>
      <c r="T22" s="95" t="s">
        <v>152</v>
      </c>
      <c r="U22" s="23">
        <v>-120686000000</v>
      </c>
      <c r="V22" s="24">
        <v>45927</v>
      </c>
      <c r="W22" s="24">
        <v>45961</v>
      </c>
    </row>
    <row r="23" spans="2:23">
      <c r="B23" s="38" t="s">
        <v>507</v>
      </c>
      <c r="C23" s="40" t="s">
        <v>116</v>
      </c>
      <c r="D23" s="20"/>
      <c r="E23" s="21"/>
      <c r="F23" s="22"/>
      <c r="G23" s="2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25">
        <v>2025</v>
      </c>
      <c r="S23" s="64" t="s">
        <v>507</v>
      </c>
      <c r="T23" s="95" t="s">
        <v>153</v>
      </c>
      <c r="U23" s="23">
        <v>5991000000</v>
      </c>
      <c r="V23" s="24">
        <v>45927</v>
      </c>
      <c r="W23" s="24">
        <v>45961</v>
      </c>
    </row>
    <row r="24" spans="2:23">
      <c r="B24" s="38" t="s">
        <v>507</v>
      </c>
      <c r="C24" s="40" t="s">
        <v>117</v>
      </c>
      <c r="D24" s="20">
        <v>93568000000</v>
      </c>
      <c r="E24" s="21">
        <v>45927</v>
      </c>
      <c r="F24" s="22">
        <v>2025</v>
      </c>
      <c r="G24" s="21">
        <v>45961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22">
        <v>2025</v>
      </c>
      <c r="S24" s="38" t="s">
        <v>507</v>
      </c>
      <c r="T24" s="40" t="s">
        <v>237</v>
      </c>
      <c r="U24" s="20">
        <v>29943000000</v>
      </c>
      <c r="V24" s="21">
        <v>45927</v>
      </c>
      <c r="W24" s="21">
        <v>45961</v>
      </c>
    </row>
    <row r="25" spans="2:23">
      <c r="B25" s="38" t="s">
        <v>507</v>
      </c>
      <c r="C25" s="40" t="s">
        <v>118</v>
      </c>
      <c r="D25" s="20">
        <v>-14264000000</v>
      </c>
      <c r="E25" s="21">
        <v>45927</v>
      </c>
      <c r="F25" s="22">
        <v>2025</v>
      </c>
      <c r="G25" s="21">
        <v>45961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22"/>
      <c r="S25" s="38" t="s">
        <v>507</v>
      </c>
      <c r="T25" s="40" t="s">
        <v>154</v>
      </c>
      <c r="U25" s="20"/>
      <c r="V25" s="21"/>
      <c r="W25" s="21"/>
    </row>
    <row r="26" spans="2:23">
      <c r="B26" s="38" t="s">
        <v>507</v>
      </c>
      <c r="C26" s="40" t="s">
        <v>119</v>
      </c>
      <c r="D26" s="43"/>
      <c r="E26" s="93"/>
      <c r="F26" s="92"/>
      <c r="G26" s="93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22">
        <v>2025</v>
      </c>
      <c r="S26" s="38" t="s">
        <v>507</v>
      </c>
      <c r="T26" s="40" t="s">
        <v>155</v>
      </c>
      <c r="U26" s="20">
        <v>43369000000</v>
      </c>
      <c r="V26" s="21">
        <v>45927</v>
      </c>
      <c r="W26" s="21">
        <v>45961</v>
      </c>
    </row>
    <row r="27" spans="2:23">
      <c r="B27" s="38" t="s">
        <v>507</v>
      </c>
      <c r="C27" s="40" t="s">
        <v>120</v>
      </c>
      <c r="D27" s="20">
        <v>-5571000000</v>
      </c>
      <c r="E27" s="21">
        <v>45927</v>
      </c>
      <c r="F27" s="22">
        <v>2025</v>
      </c>
      <c r="G27" s="21">
        <v>45961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</row>
    <row r="28" spans="2:23">
      <c r="B28" s="38" t="s">
        <v>507</v>
      </c>
      <c r="C28" s="95" t="s">
        <v>121</v>
      </c>
      <c r="D28" s="23">
        <v>73733000000</v>
      </c>
      <c r="E28" s="24">
        <v>45927</v>
      </c>
      <c r="F28" s="25">
        <v>2025</v>
      </c>
      <c r="G28" s="24">
        <v>45961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</row>
    <row r="29" spans="2:23">
      <c r="B29" s="38" t="s">
        <v>507</v>
      </c>
      <c r="C29" s="95" t="s">
        <v>122</v>
      </c>
      <c r="D29" s="23">
        <v>359241000000</v>
      </c>
      <c r="E29" s="24">
        <v>45927</v>
      </c>
      <c r="F29" s="25">
        <v>2025</v>
      </c>
      <c r="G29" s="24">
        <v>45961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</row>
    <row r="34" spans="3:3">
      <c r="C34" s="28"/>
    </row>
  </sheetData>
  <sheetProtection formatCells="0" formatColumns="0" formatRows="0" sort="0" autoFilter="0"/>
  <mergeCells count="3">
    <mergeCell ref="B1:G1"/>
    <mergeCell ref="R1:W1"/>
    <mergeCell ref="J1:O1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DCD9-C965-4937-BD52-24B97E84799F}">
  <sheetPr>
    <tabColor rgb="FF3A3939"/>
  </sheetPr>
  <dimension ref="A1:D12"/>
  <sheetViews>
    <sheetView showGridLines="0" zoomScale="190" zoomScaleNormal="190" workbookViewId="0">
      <selection activeCell="D14" sqref="A1:XFD1048576"/>
    </sheetView>
  </sheetViews>
  <sheetFormatPr defaultRowHeight="15.75"/>
  <cols>
    <col min="1" max="1" width="23.125" style="1" bestFit="1" customWidth="1"/>
    <col min="2" max="2" width="4.875" style="1" bestFit="1" customWidth="1"/>
    <col min="3" max="3" width="15.75" style="1" bestFit="1" customWidth="1"/>
    <col min="4" max="4" width="28.25" style="1" bestFit="1" customWidth="1"/>
    <col min="5" max="16384" width="9" style="1"/>
  </cols>
  <sheetData>
    <row r="1" spans="1:4" ht="26.1" customHeight="1">
      <c r="A1" s="130" t="s">
        <v>333</v>
      </c>
      <c r="B1" s="131"/>
      <c r="C1" s="131"/>
      <c r="D1" s="131"/>
    </row>
    <row r="2" spans="1:4">
      <c r="A2" s="86"/>
      <c r="B2" s="86"/>
      <c r="C2" s="86"/>
      <c r="D2" s="86"/>
    </row>
    <row r="3" spans="1:4">
      <c r="A3" s="53" t="s">
        <v>55</v>
      </c>
      <c r="B3" s="37" t="s">
        <v>85</v>
      </c>
      <c r="C3" s="37" t="s">
        <v>52</v>
      </c>
      <c r="D3" s="37" t="s">
        <v>274</v>
      </c>
    </row>
    <row r="4" spans="1:4">
      <c r="A4" s="86" t="s">
        <v>21</v>
      </c>
      <c r="B4" s="97">
        <f>'Model Inputs'!B39</f>
        <v>2025</v>
      </c>
      <c r="C4" s="87">
        <f>_xlfn.XLOOKUP("Total Revenue",EDGAR_IncomeStatement[Line Item],EDGAR_IncomeStatement[Value],0,0)</f>
        <v>416161000000</v>
      </c>
      <c r="D4" s="86" t="s">
        <v>334</v>
      </c>
    </row>
    <row r="5" spans="1:4">
      <c r="A5" s="86" t="s">
        <v>23</v>
      </c>
      <c r="B5" s="97">
        <f>'Model Inputs'!B39</f>
        <v>2025</v>
      </c>
      <c r="C5" s="87">
        <f>_xlfn.XLOOKUP("Operating Income (Loss)",EDGAR_IncomeStatement[Line Item],EDGAR_IncomeStatement[Value],0,0)</f>
        <v>133050000000</v>
      </c>
      <c r="D5" s="86" t="s">
        <v>334</v>
      </c>
    </row>
    <row r="6" spans="1:4">
      <c r="A6" s="86" t="s">
        <v>228</v>
      </c>
      <c r="B6" s="97">
        <f>'Model Inputs'!B39</f>
        <v>2025</v>
      </c>
      <c r="C6" s="88">
        <f>IFERROR(C5/C4,0)</f>
        <v>0.31970799762591884</v>
      </c>
      <c r="D6" s="86" t="s">
        <v>335</v>
      </c>
    </row>
    <row r="7" spans="1:4">
      <c r="A7" s="86" t="s">
        <v>336</v>
      </c>
      <c r="B7" s="97">
        <f>'Model Inputs'!B39</f>
        <v>2025</v>
      </c>
      <c r="C7" s="87">
        <f>_xlfn.XLOOKUP("Depreciation, Depletion &amp; Amortization",EDGAR_StatementOfCashFlows[Line Item],EDGAR_StatementOfCashFlows[Value (USD)],0,0)</f>
        <v>11698000000</v>
      </c>
      <c r="D7" s="86" t="s">
        <v>337</v>
      </c>
    </row>
    <row r="8" spans="1:4">
      <c r="A8" s="86" t="s">
        <v>338</v>
      </c>
      <c r="B8" s="97">
        <f>'Model Inputs'!B39</f>
        <v>2025</v>
      </c>
      <c r="C8" s="87">
        <f>_xlfn.XLOOKUP("Capital Expenditures",EDGAR_StatementOfCashFlows[Line Item],EDGAR_StatementOfCashFlows[Value (USD)],0,0)</f>
        <v>12715000000</v>
      </c>
      <c r="D8" s="86" t="s">
        <v>337</v>
      </c>
    </row>
    <row r="9" spans="1:4">
      <c r="A9" s="86" t="s">
        <v>339</v>
      </c>
      <c r="B9" s="97">
        <f>'Model Inputs'!B39</f>
        <v>2025</v>
      </c>
      <c r="C9" s="87">
        <f>_xlfn.XLOOKUP("Cash &amp; Equivalents",EDGAR_BalanceSheet[Line Item],EDGAR_BalanceSheet[Value (USD)],0,0)</f>
        <v>35934000000</v>
      </c>
      <c r="D9" s="86" t="s">
        <v>340</v>
      </c>
    </row>
    <row r="10" spans="1:4">
      <c r="A10" s="86" t="s">
        <v>215</v>
      </c>
      <c r="B10" s="97">
        <f>'Model Inputs'!B39</f>
        <v>2025</v>
      </c>
      <c r="C10" s="87">
        <f>'Model Inputs'!B35</f>
        <v>90678000000</v>
      </c>
      <c r="D10" s="86" t="s">
        <v>341</v>
      </c>
    </row>
    <row r="11" spans="1:4">
      <c r="A11" s="86" t="s">
        <v>342</v>
      </c>
      <c r="B11" s="97">
        <f>'Model Inputs'!B39</f>
        <v>2025</v>
      </c>
      <c r="C11" s="98">
        <f>'Model Inputs'!B26</f>
        <v>15004697000</v>
      </c>
      <c r="D11" s="86" t="s">
        <v>334</v>
      </c>
    </row>
    <row r="12" spans="1:4">
      <c r="C12" s="29"/>
    </row>
  </sheetData>
  <sheetProtection formatCells="0" formatColumns="0" formatRows="0" sort="0" autoFilter="0"/>
  <mergeCells count="1">
    <mergeCell ref="A1:D1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42A-CB27-4349-9B6A-546E58382186}">
  <sheetPr>
    <tabColor rgb="FF1C1B1B"/>
  </sheetPr>
  <dimension ref="A1:E40"/>
  <sheetViews>
    <sheetView showGridLines="0" topLeftCell="A22" zoomScale="160" zoomScaleNormal="160" workbookViewId="0">
      <selection activeCell="D41" sqref="A1:XFD1048576"/>
    </sheetView>
  </sheetViews>
  <sheetFormatPr defaultRowHeight="15.75"/>
  <cols>
    <col min="1" max="1" width="28.125" style="1" bestFit="1" customWidth="1"/>
    <col min="2" max="2" width="21.75" style="1" bestFit="1" customWidth="1"/>
    <col min="3" max="3" width="30" style="1" bestFit="1" customWidth="1"/>
    <col min="4" max="4" width="6.875" style="1" bestFit="1" customWidth="1"/>
    <col min="5" max="5" width="61.875" style="1" bestFit="1" customWidth="1"/>
    <col min="6" max="16384" width="9" style="1"/>
  </cols>
  <sheetData>
    <row r="1" spans="1:5" ht="26.1" customHeight="1">
      <c r="A1" s="99" t="s">
        <v>249</v>
      </c>
      <c r="B1" s="100"/>
      <c r="C1" s="100"/>
      <c r="D1" s="100"/>
      <c r="E1" s="100"/>
    </row>
    <row r="2" spans="1:5">
      <c r="A2" s="86" t="str">
        <f ca="1">IF(COUNTIF(D4:D48,"FAIL")&gt;0,"FAIL",IF(COUNTIF(D4:D48,"WARN")&gt;0,"WARN","PASS"))</f>
        <v>FAIL</v>
      </c>
      <c r="B2" s="86"/>
      <c r="C2" s="86"/>
      <c r="D2" s="86"/>
      <c r="E2" s="86"/>
    </row>
    <row r="3" spans="1:5">
      <c r="A3" s="86" t="s">
        <v>250</v>
      </c>
      <c r="B3" s="101" t="s">
        <v>52</v>
      </c>
      <c r="C3" s="101" t="s">
        <v>251</v>
      </c>
      <c r="D3" s="101" t="s">
        <v>252</v>
      </c>
      <c r="E3" s="101" t="s">
        <v>253</v>
      </c>
    </row>
    <row r="4" spans="1:5">
      <c r="A4" s="86" t="s">
        <v>254</v>
      </c>
      <c r="B4" s="86" cm="1">
        <f t="array" aca="1" ref="B4" ca="1">SUMPRODUCT(--ISERROR(DCF!A1:L82))+SUMPRODUCT(--ISERROR(WACC!A1:C22))+SUMPRODUCT(--ISERROR('Model Inputs'!A1:F72))+SUMPRODUCT(--ISERROR('Data Queries'!A1:N60))+SUMPRODUCT(--ISERROR('3 Statements'!B1:W45))</f>
        <v>0</v>
      </c>
      <c r="C4" s="30">
        <v>0</v>
      </c>
      <c r="D4" s="86" t="str">
        <f ca="1">IF(B4=0,"PASS","FAIL")</f>
        <v>PASS</v>
      </c>
      <c r="E4" s="86" t="s">
        <v>343</v>
      </c>
    </row>
    <row r="5" spans="1:5">
      <c r="A5" s="86" t="s">
        <v>367</v>
      </c>
      <c r="B5" s="86">
        <f>DCF!B4</f>
        <v>2</v>
      </c>
      <c r="C5" s="86" t="s">
        <v>368</v>
      </c>
      <c r="D5" s="86" t="str">
        <f>IF(OR(B5=1,B5=2,B5=3),"PASS","FAIL")</f>
        <v>PASS</v>
      </c>
      <c r="E5" s="86" t="s">
        <v>369</v>
      </c>
    </row>
    <row r="6" spans="1:5">
      <c r="A6" s="86" t="s">
        <v>370</v>
      </c>
      <c r="B6" s="102" t="str">
        <f>DCF!B5</f>
        <v>Base</v>
      </c>
      <c r="C6" s="86" t="s">
        <v>371</v>
      </c>
      <c r="D6" s="86" t="str">
        <f>IF(OR(B6="Bear",B6="Base",B6="Bull"),"PASS","FAIL")</f>
        <v>PASS</v>
      </c>
      <c r="E6" s="86" t="s">
        <v>372</v>
      </c>
    </row>
    <row r="7" spans="1:5">
      <c r="A7" s="86" t="s">
        <v>373</v>
      </c>
      <c r="B7" s="86">
        <f>'Model Inputs'!B25</f>
        <v>297.83999999999997</v>
      </c>
      <c r="C7" s="86" t="s">
        <v>256</v>
      </c>
      <c r="D7" s="86" t="str">
        <f>IF(B7&gt;0,"PASS","FAIL")</f>
        <v>PASS</v>
      </c>
      <c r="E7" s="86" t="s">
        <v>374</v>
      </c>
    </row>
    <row r="8" spans="1:5">
      <c r="A8" s="86" t="s">
        <v>267</v>
      </c>
      <c r="B8" s="103">
        <f>'Model Inputs'!B26</f>
        <v>15004697000</v>
      </c>
      <c r="C8" s="86" t="s">
        <v>256</v>
      </c>
      <c r="D8" s="86" t="str">
        <f>IF(B8&gt;0,"PASS","FAIL")</f>
        <v>PASS</v>
      </c>
      <c r="E8" s="86" t="s">
        <v>375</v>
      </c>
    </row>
    <row r="9" spans="1:5">
      <c r="A9" s="86" t="s">
        <v>376</v>
      </c>
      <c r="B9" s="103">
        <f>'Model Inputs'!B40</f>
        <v>14776353000</v>
      </c>
      <c r="C9" s="86" t="s">
        <v>256</v>
      </c>
      <c r="D9" s="86" t="str">
        <f>IF(B9&gt;0,"PASS","FAIL")</f>
        <v>PASS</v>
      </c>
      <c r="E9" s="86" t="s">
        <v>377</v>
      </c>
    </row>
    <row r="10" spans="1:5">
      <c r="A10" s="86" t="s">
        <v>378</v>
      </c>
      <c r="B10" s="86">
        <f>'Model Inputs'!B27-('Model Inputs'!B25*'Model Inputs'!B40)</f>
        <v>0</v>
      </c>
      <c r="C10" s="30">
        <v>0</v>
      </c>
      <c r="D10" s="86" t="str">
        <f>IF(ABS(B10)&lt;1,"PASS","FAIL")</f>
        <v>PASS</v>
      </c>
      <c r="E10" s="86" t="s">
        <v>379</v>
      </c>
    </row>
    <row r="11" spans="1:5">
      <c r="A11" s="86" t="s">
        <v>380</v>
      </c>
      <c r="B11" s="86">
        <f>'Model Inputs'!B28</f>
        <v>416161000000</v>
      </c>
      <c r="C11" s="86" t="s">
        <v>256</v>
      </c>
      <c r="D11" s="86" t="str">
        <f>IF(B11&gt;0,"PASS","FAIL")</f>
        <v>PASS</v>
      </c>
      <c r="E11" s="86" t="s">
        <v>381</v>
      </c>
    </row>
    <row r="12" spans="1:5">
      <c r="A12" s="86" t="s">
        <v>382</v>
      </c>
      <c r="B12" s="86" t="str">
        <f>'Model Inputs'!D28</f>
        <v>OK</v>
      </c>
      <c r="C12" s="86" t="s">
        <v>383</v>
      </c>
      <c r="D12" s="86" t="str">
        <f>IF(B12="OK","PASS",IF(B12="INFERRED","WARN","FAIL"))</f>
        <v>PASS</v>
      </c>
      <c r="E12" s="86" t="s">
        <v>384</v>
      </c>
    </row>
    <row r="13" spans="1:5">
      <c r="A13" s="86" t="s">
        <v>385</v>
      </c>
      <c r="B13" s="86">
        <f>'Model Inputs'!B29</f>
        <v>133050000000</v>
      </c>
      <c r="C13" s="86" t="s">
        <v>386</v>
      </c>
      <c r="D13" s="86" t="str">
        <f>IF(B13&lt;&gt;0,"PASS","FAIL")</f>
        <v>PASS</v>
      </c>
      <c r="E13" s="86" t="s">
        <v>387</v>
      </c>
    </row>
    <row r="14" spans="1:5">
      <c r="A14" s="86" t="s">
        <v>388</v>
      </c>
      <c r="B14" s="86" t="str">
        <f>'Model Inputs'!D29</f>
        <v>OK</v>
      </c>
      <c r="C14" s="86" t="s">
        <v>389</v>
      </c>
      <c r="D14" s="86" t="str">
        <f>IF(B14="OK","PASS","FAIL")</f>
        <v>PASS</v>
      </c>
      <c r="E14" s="86" t="s">
        <v>390</v>
      </c>
    </row>
    <row r="15" spans="1:5">
      <c r="A15" s="86" t="s">
        <v>391</v>
      </c>
      <c r="B15" s="88">
        <f>'Model Inputs'!B30</f>
        <v>0.31970799762591884</v>
      </c>
      <c r="C15" s="86" t="s">
        <v>392</v>
      </c>
      <c r="D15" s="86" t="str">
        <f>IF(AND(B15&gt;0,B15&lt;0.75),"PASS","FAIL")</f>
        <v>PASS</v>
      </c>
      <c r="E15" s="86" t="s">
        <v>393</v>
      </c>
    </row>
    <row r="16" spans="1:5">
      <c r="A16" s="86" t="s">
        <v>394</v>
      </c>
      <c r="B16" s="88">
        <f>'Model Inputs'!B31</f>
        <v>0.15610002335586043</v>
      </c>
      <c r="C16" s="86" t="s">
        <v>395</v>
      </c>
      <c r="D16" s="86" t="str">
        <f>IF(AND(B16&gt;0,B16&lt;0.4),"PASS","WARN")</f>
        <v>PASS</v>
      </c>
      <c r="E16" s="86" t="s">
        <v>396</v>
      </c>
    </row>
    <row r="17" spans="1:5">
      <c r="A17" s="86" t="s">
        <v>397</v>
      </c>
      <c r="B17" s="88">
        <f>'Model Inputs'!B32</f>
        <v>2.8109313462818475E-2</v>
      </c>
      <c r="C17" s="86" t="s">
        <v>398</v>
      </c>
      <c r="D17" s="86" t="str">
        <f>IF(AND(B17&gt;0,B17&lt;0.3),"PASS","WARN")</f>
        <v>PASS</v>
      </c>
      <c r="E17" s="86" t="s">
        <v>399</v>
      </c>
    </row>
    <row r="18" spans="1:5">
      <c r="A18" s="86" t="s">
        <v>400</v>
      </c>
      <c r="B18" s="88">
        <f>'Model Inputs'!B33</f>
        <v>3.0553079216937677E-2</v>
      </c>
      <c r="C18" s="86" t="s">
        <v>401</v>
      </c>
      <c r="D18" s="86" t="str">
        <f>IF(AND(B18&gt;0,B18&lt;0.5),"PASS","WARN")</f>
        <v>PASS</v>
      </c>
      <c r="E18" s="86" t="s">
        <v>402</v>
      </c>
    </row>
    <row r="19" spans="1:5">
      <c r="A19" s="86" t="s">
        <v>403</v>
      </c>
      <c r="B19" s="86">
        <f>'Model Inputs'!B34</f>
        <v>35934000000</v>
      </c>
      <c r="C19" s="86" t="s">
        <v>256</v>
      </c>
      <c r="D19" s="86" t="str">
        <f>IF(B19&gt;=0,"PASS","FAIL")</f>
        <v>PASS</v>
      </c>
      <c r="E19" s="86" t="s">
        <v>404</v>
      </c>
    </row>
    <row r="20" spans="1:5">
      <c r="A20" s="86" t="s">
        <v>405</v>
      </c>
      <c r="B20" s="86">
        <f>'Model Inputs'!B35</f>
        <v>90678000000</v>
      </c>
      <c r="C20" s="86" t="s">
        <v>256</v>
      </c>
      <c r="D20" s="86" t="str">
        <f>IF(B20&gt;=0,"PASS","FAIL")</f>
        <v>PASS</v>
      </c>
      <c r="E20" s="86" t="s">
        <v>406</v>
      </c>
    </row>
    <row r="21" spans="1:5">
      <c r="A21" s="86" t="s">
        <v>407</v>
      </c>
      <c r="B21" s="86">
        <f>'Model Inputs'!B36</f>
        <v>54744000000</v>
      </c>
      <c r="C21" s="86" t="s">
        <v>408</v>
      </c>
      <c r="D21" s="86" t="str">
        <f>IF(ISNUMBER(B21),"PASS","FAIL")</f>
        <v>PASS</v>
      </c>
      <c r="E21" s="86" t="s">
        <v>409</v>
      </c>
    </row>
    <row r="22" spans="1:5">
      <c r="A22" s="86" t="s">
        <v>410</v>
      </c>
      <c r="B22" s="88">
        <f>WACC!B22</f>
        <v>9.7716645718558356E-2</v>
      </c>
      <c r="C22" s="86" t="s">
        <v>398</v>
      </c>
      <c r="D22" s="86" t="str">
        <f>IF(AND(B22&gt;0,B22&lt;0.3),"PASS","FAIL")</f>
        <v>PASS</v>
      </c>
      <c r="E22" s="86" t="s">
        <v>411</v>
      </c>
    </row>
    <row r="23" spans="1:5">
      <c r="A23" s="86" t="s">
        <v>255</v>
      </c>
      <c r="B23" s="88">
        <f>WACC!B22-'Model Inputs'!B38</f>
        <v>6.7716645718558358E-2</v>
      </c>
      <c r="C23" s="86" t="s">
        <v>256</v>
      </c>
      <c r="D23" s="86" t="str">
        <f>IF(B23&gt;0,"PASS","FAIL")</f>
        <v>PASS</v>
      </c>
      <c r="E23" s="86" t="s">
        <v>257</v>
      </c>
    </row>
    <row r="24" spans="1:5">
      <c r="A24" s="86" t="s">
        <v>268</v>
      </c>
      <c r="B24" s="104" t="str">
        <f>'Model Inputs'!B22</f>
        <v>Year-End</v>
      </c>
      <c r="C24" s="86" t="s">
        <v>269</v>
      </c>
      <c r="D24" s="86" t="str">
        <f>IF(OR(B24="Mid-Year",B24="Year-End"),"PASS","FAIL")</f>
        <v>PASS</v>
      </c>
      <c r="E24" s="86" t="s">
        <v>270</v>
      </c>
    </row>
    <row r="25" spans="1:5">
      <c r="A25" s="86" t="s">
        <v>412</v>
      </c>
      <c r="B25" s="86" t="str">
        <f>'Model Inputs'!D38</f>
        <v>OK</v>
      </c>
      <c r="C25" s="86" t="s">
        <v>389</v>
      </c>
      <c r="D25" s="86" t="str">
        <f>IF(B25="OK","PASS","FAIL")</f>
        <v>PASS</v>
      </c>
      <c r="E25" s="86" t="s">
        <v>413</v>
      </c>
    </row>
    <row r="26" spans="1:5">
      <c r="A26" s="86" t="s">
        <v>414</v>
      </c>
      <c r="B26" s="86" t="str">
        <f>IFERROR(INDEX(Cost_of_Debt[FY],1)&amp;" / "&amp;IF(INDEX(Cost_of_Debt[Pre-Tax Cost of Debt],1)&gt;0,TEXT(INDEX(Cost_of_Debt[Pre-Tax Cost of Debt],1),"0.00%"),"n/a"),"missing")</f>
        <v>2025 / n/a</v>
      </c>
      <c r="C26" s="86" t="s">
        <v>415</v>
      </c>
      <c r="D26" s="86" t="str">
        <f>IF(AND(IFERROR(INDEX(Cost_of_Debt[FY],1),0)='Model Inputs'!B39,IFERROR(INDEX(Cost_of_Debt[Pre-Tax Cost of Debt],1),0)&gt;0),"PASS",IF(AND('Model Inputs'!B19&gt;0,'Model Inputs'!B19&lt;0.3),"WARN","FAIL"))</f>
        <v>FAIL</v>
      </c>
      <c r="E26" s="86" t="s">
        <v>416</v>
      </c>
    </row>
    <row r="27" spans="1:5">
      <c r="A27" s="86" t="s">
        <v>417</v>
      </c>
      <c r="B27" s="88">
        <f>WACC!B10</f>
        <v>0</v>
      </c>
      <c r="C27" s="86" t="s">
        <v>398</v>
      </c>
      <c r="D27" s="86" t="str">
        <f>IF(AND(B27&gt;0,B27&lt;0.3),"PASS","FAIL")</f>
        <v>FAIL</v>
      </c>
      <c r="E27" s="86" t="s">
        <v>418</v>
      </c>
    </row>
    <row r="28" spans="1:5">
      <c r="A28" s="86" t="s">
        <v>419</v>
      </c>
      <c r="B28" s="88">
        <f>WACC!B20+WACC!B21</f>
        <v>1</v>
      </c>
      <c r="C28" s="31">
        <v>1</v>
      </c>
      <c r="D28" s="86" t="str">
        <f>IF(ABS(B28-1)&lt;0.0001,"PASS","FAIL")</f>
        <v>PASS</v>
      </c>
      <c r="E28" s="86" t="s">
        <v>420</v>
      </c>
    </row>
    <row r="29" spans="1:5">
      <c r="A29" s="86" t="s">
        <v>259</v>
      </c>
      <c r="B29" s="86">
        <f>_xlfn.XLOOKUP("Total Assets",EDGAR_BalanceSheet[Line Item],EDGAR_BalanceSheet[Value (USD)],0,0)-_xlfn.XLOOKUP("Total Liabilities &amp; Equity",EDGAR_BalanceSheet[Line Item],EDGAR_BalanceSheet[Value (USD)],0,0)</f>
        <v>0</v>
      </c>
      <c r="C29" s="86" t="s">
        <v>260</v>
      </c>
      <c r="D29" s="86" t="str">
        <f>IF(ABS(B29)&lt;=1000,"PASS","FAIL")</f>
        <v>PASS</v>
      </c>
      <c r="E29" s="86" t="s">
        <v>261</v>
      </c>
    </row>
    <row r="30" spans="1:5">
      <c r="A30" s="86" t="s">
        <v>262</v>
      </c>
      <c r="B30" s="86">
        <f>_xlfn.XLOOKUP("Cash &amp; Equivalents",EDGAR_BalanceSheet[Line Item],EDGAR_BalanceSheet[Value (USD)],0,0)-(_xlfn.XLOOKUP("Cash &amp; Equivalents - Beginning",EDGAR_StatementOfCashFlows[Line Item],EDGAR_StatementOfCashFlows[Value (USD)],0,0)+_xlfn.XLOOKUP("Net Change in Cash",EDGAR_StatementOfCashFlows[Line Item],EDGAR_StatementOfCashFlows[Value (USD)],0,0))</f>
        <v>0</v>
      </c>
      <c r="C30" s="86" t="s">
        <v>260</v>
      </c>
      <c r="D30" s="86" t="str">
        <f>IF(ABS(B30)&lt;=1000,"PASS","FAIL")</f>
        <v>PASS</v>
      </c>
      <c r="E30" s="86" t="s">
        <v>263</v>
      </c>
    </row>
    <row r="31" spans="1:5">
      <c r="A31" s="86" t="s">
        <v>264</v>
      </c>
      <c r="B31" s="86">
        <f>_xlfn.XLOOKUP("Net Income",EDGAR_IncomeStatement[Line Item],EDGAR_IncomeStatement[Value],0,0)-_xlfn.XLOOKUP("Net Income",EDGAR_StatementOfCashFlows[Line Item],EDGAR_StatementOfCashFlows[Value (USD)],0,0)</f>
        <v>0</v>
      </c>
      <c r="C31" s="86" t="s">
        <v>260</v>
      </c>
      <c r="D31" s="86" t="str">
        <f>IF(ABS(B31)&lt;=1000,"PASS","FAIL")</f>
        <v>PASS</v>
      </c>
      <c r="E31" s="86" t="s">
        <v>421</v>
      </c>
    </row>
    <row r="32" spans="1:5">
      <c r="A32" s="86" t="s">
        <v>272</v>
      </c>
      <c r="B32" s="86">
        <f>MIN(MAX(EDGAR_IncomeStatement[FY]),MAX(EDGAR_BalanceSheet[FY]),MAX(EDGAR_StatementOfCashFlows[FY]))</f>
        <v>2025</v>
      </c>
      <c r="C32" s="86" t="s">
        <v>258</v>
      </c>
      <c r="D32" s="86" t="str">
        <f>IF(B32='Model Inputs'!B39,"PASS","FAIL")</f>
        <v>PASS</v>
      </c>
      <c r="E32" s="86" t="s">
        <v>422</v>
      </c>
    </row>
    <row r="33" spans="1:5">
      <c r="A33" s="86" t="s">
        <v>265</v>
      </c>
      <c r="B33" s="86">
        <f>DCF!B14-DCF!D70</f>
        <v>7.2969150926539896</v>
      </c>
      <c r="C33" s="30">
        <v>0</v>
      </c>
      <c r="D33" s="86" t="str">
        <f>IF(ABS(B33)&lt;0.01,"PASS","FAIL")</f>
        <v>FAIL</v>
      </c>
      <c r="E33" s="86" t="s">
        <v>423</v>
      </c>
    </row>
    <row r="34" spans="1:5">
      <c r="A34" s="86" t="s">
        <v>266</v>
      </c>
      <c r="B34" s="86">
        <f>DCF!B14-DCF!D80</f>
        <v>7.2969150926539896</v>
      </c>
      <c r="C34" s="30">
        <v>0</v>
      </c>
      <c r="D34" s="86" t="str">
        <f>IF(ABS(B34)&lt;0.01,"PASS","FAIL")</f>
        <v>FAIL</v>
      </c>
      <c r="E34" s="86" t="s">
        <v>424</v>
      </c>
    </row>
    <row r="35" spans="1:5">
      <c r="A35" s="86" t="s">
        <v>425</v>
      </c>
      <c r="B35" s="86">
        <f>DCF!B14</f>
        <v>171.53890758391583</v>
      </c>
      <c r="C35" s="86" t="s">
        <v>256</v>
      </c>
      <c r="D35" s="86" t="str">
        <f>IF(B35&gt;0,"PASS","FAIL")</f>
        <v>PASS</v>
      </c>
      <c r="E35" s="86" t="s">
        <v>426</v>
      </c>
    </row>
    <row r="36" spans="1:5">
      <c r="A36" s="86" t="s">
        <v>271</v>
      </c>
      <c r="B36" s="86">
        <f>COUNTIF('Model Inputs'!C7:C17,TRUE)+COUNTIF('Model Inputs'!C19,TRUE)</f>
        <v>0</v>
      </c>
      <c r="C36" s="30">
        <v>0</v>
      </c>
      <c r="D36" s="86" t="str">
        <f>IF(B36=0,"PASS","WARN")</f>
        <v>PASS</v>
      </c>
      <c r="E36" s="86" t="s">
        <v>427</v>
      </c>
    </row>
    <row r="37" spans="1:5">
      <c r="A37" s="86" t="s">
        <v>428</v>
      </c>
      <c r="B37" s="86" t="str">
        <f>IF('Model Inputs'!D29="OK","Operating EBIT available","Missing EBIT / nonstandard operating model")</f>
        <v>Operating EBIT available</v>
      </c>
      <c r="C37" s="86" t="s">
        <v>429</v>
      </c>
      <c r="D37" s="86" t="str">
        <f>IF(B37="Operating EBIT available","PASS","FAIL")</f>
        <v>PASS</v>
      </c>
      <c r="E37" s="86" t="s">
        <v>430</v>
      </c>
    </row>
    <row r="38" spans="1:5">
      <c r="A38" s="86" t="s">
        <v>431</v>
      </c>
      <c r="B38" s="86" t="str">
        <f>IF(COUNTIF('Source Audit'!E4:E30,"FAIL")&gt;0,"FAIL",IF(COUNTIF('Source Audit'!E4:E30,"WARN")&gt;0,"WARN","PASS"))</f>
        <v>WARN</v>
      </c>
      <c r="C38" s="86" t="s">
        <v>432</v>
      </c>
      <c r="D38" s="86" t="str">
        <f>IF(B38="FAIL","FAIL",IF(B38="WARN","WARN","PASS"))</f>
        <v>WARN</v>
      </c>
      <c r="E38" s="86" t="s">
        <v>433</v>
      </c>
    </row>
    <row r="39" spans="1:5">
      <c r="A39" s="86" t="s">
        <v>434</v>
      </c>
      <c r="B39" s="86">
        <f>COUNTIF('Data Queries'!E2:E13,"n/a")+COUNTIF('Data Queries'!E2:E13,"")</f>
        <v>0</v>
      </c>
      <c r="C39" s="30">
        <v>0</v>
      </c>
      <c r="D39" s="86" t="str">
        <f>IF(B39=0,"PASS","WARN")</f>
        <v>PASS</v>
      </c>
      <c r="E39" s="86" t="s">
        <v>435</v>
      </c>
    </row>
    <row r="40" spans="1:5">
      <c r="A40" s="86" t="s">
        <v>436</v>
      </c>
      <c r="B40" s="86" cm="1">
        <f t="array" aca="1" ref="B40" ca="1">SUMPRODUCT(--ISNUMBER(SEARCH("1000"&amp;"000",_xlfn.FORMULATEXT(DCF!A1:L82))))+SUMPRODUCT(--ISNUMBER(SEARCH("1000"&amp;"000",_xlfn.FORMULATEXT(WACC!A1:C22))))+SUMPRODUCT(--ISNUMBER(SEARCH("1000"&amp;"000",_xlfn.FORMULATEXT('Model Inputs'!A1:F72))))</f>
        <v>0</v>
      </c>
      <c r="C40" s="30">
        <v>0</v>
      </c>
      <c r="D40" s="86" t="str">
        <f ca="1">IF(B40=0,"PASS","FAIL")</f>
        <v>PASS</v>
      </c>
      <c r="E40" s="86" t="s">
        <v>437</v>
      </c>
    </row>
  </sheetData>
  <sheetProtection formatCells="0" formatColumns="0" formatRows="0" sort="0" autoFilter="0"/>
  <pageMargins left="0.7" right="0.7" top="0.75" bottom="0.75" header="0.3" footer="0.3"/>
  <pageSetup orientation="portrait" horizontalDpi="360" verticalDpi="360" r:id="rId1"/>
  <headerFooter>
    <oddHeader>&amp;LIsaiah Moragne, MBA&amp;Risaiahmba.com</oddHeader>
    <oddFooter>&amp;C© 2026 Isaiah Moragne, MBA — Educational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9489-7238-4582-9414-1E98A63DB0E9}">
  <sheetPr>
    <tabColor rgb="FF1C1B1B"/>
  </sheetPr>
  <dimension ref="A1:F28"/>
  <sheetViews>
    <sheetView showGridLines="0" zoomScale="145" zoomScaleNormal="145" workbookViewId="0">
      <selection activeCell="D38" sqref="D38"/>
    </sheetView>
  </sheetViews>
  <sheetFormatPr defaultRowHeight="15.75"/>
  <cols>
    <col min="1" max="1" width="22.25" style="1" bestFit="1" customWidth="1"/>
    <col min="2" max="2" width="15" style="1" bestFit="1" customWidth="1"/>
    <col min="3" max="3" width="13.375" style="1" bestFit="1" customWidth="1"/>
    <col min="4" max="4" width="23.375" style="1" bestFit="1" customWidth="1"/>
    <col min="5" max="5" width="56.75" style="1" bestFit="1" customWidth="1"/>
    <col min="6" max="6" width="45.125" style="1" bestFit="1" customWidth="1"/>
    <col min="7" max="16384" width="9" style="1"/>
  </cols>
  <sheetData>
    <row r="1" spans="1:6" ht="26.1" customHeight="1">
      <c r="A1" s="130" t="s">
        <v>273</v>
      </c>
      <c r="B1" s="131"/>
      <c r="C1" s="131"/>
      <c r="D1" s="131"/>
      <c r="E1" s="131"/>
      <c r="F1" s="131"/>
    </row>
    <row r="2" spans="1:6">
      <c r="A2" s="86"/>
      <c r="B2" s="86"/>
      <c r="C2" s="86"/>
      <c r="D2" s="86"/>
      <c r="E2" s="86"/>
      <c r="F2" s="86"/>
    </row>
    <row r="3" spans="1:6">
      <c r="A3" s="53" t="s">
        <v>274</v>
      </c>
      <c r="B3" s="37" t="s">
        <v>275</v>
      </c>
      <c r="C3" s="37" t="s">
        <v>276</v>
      </c>
      <c r="D3" s="37" t="s">
        <v>277</v>
      </c>
      <c r="E3" s="37" t="s">
        <v>252</v>
      </c>
      <c r="F3" s="37" t="s">
        <v>253</v>
      </c>
    </row>
    <row r="4" spans="1:6">
      <c r="A4" s="86" t="s">
        <v>138</v>
      </c>
      <c r="B4" s="86" t="s">
        <v>85</v>
      </c>
      <c r="C4" s="86">
        <f>MAX(EDGAR_IncomeStatement[FY])</f>
        <v>2025</v>
      </c>
      <c r="D4" s="97">
        <f>'Model Inputs'!B39</f>
        <v>2025</v>
      </c>
      <c r="E4" s="86" t="str">
        <f>IF(C4=D4,"PASS","FAIL")</f>
        <v>PASS</v>
      </c>
      <c r="F4" s="86" t="s">
        <v>278</v>
      </c>
    </row>
    <row r="5" spans="1:6">
      <c r="A5" s="86" t="s">
        <v>123</v>
      </c>
      <c r="B5" s="86" t="s">
        <v>85</v>
      </c>
      <c r="C5" s="86">
        <f>MAX(EDGAR_BalanceSheet[FY])</f>
        <v>2025</v>
      </c>
      <c r="D5" s="97">
        <f>'Model Inputs'!B39</f>
        <v>2025</v>
      </c>
      <c r="E5" s="86" t="str">
        <f>IF(C5=D5,"PASS","FAIL")</f>
        <v>PASS</v>
      </c>
      <c r="F5" s="86" t="s">
        <v>279</v>
      </c>
    </row>
    <row r="6" spans="1:6">
      <c r="A6" s="86" t="s">
        <v>280</v>
      </c>
      <c r="B6" s="86" t="s">
        <v>85</v>
      </c>
      <c r="C6" s="86">
        <f>MAX(EDGAR_StatementOfCashFlows[FY])</f>
        <v>2025</v>
      </c>
      <c r="D6" s="97">
        <f>'Model Inputs'!B39</f>
        <v>2025</v>
      </c>
      <c r="E6" s="86" t="str">
        <f>IF(C6=D6,"PASS","FAIL")</f>
        <v>PASS</v>
      </c>
      <c r="F6" s="86" t="s">
        <v>281</v>
      </c>
    </row>
    <row r="7" spans="1:6">
      <c r="A7" s="86" t="s">
        <v>89</v>
      </c>
      <c r="B7" s="86" t="s">
        <v>282</v>
      </c>
      <c r="C7" s="86">
        <f>IFERROR(INDEX(EDGAR_SharesOutstanding[Shares Outstanding],1),"")</f>
        <v>14776353000</v>
      </c>
      <c r="D7" s="86" t="s">
        <v>256</v>
      </c>
      <c r="E7" s="86" t="str">
        <f>IF(C7&gt;0,"PASS","FAIL")</f>
        <v>PASS</v>
      </c>
      <c r="F7" s="86" t="s">
        <v>283</v>
      </c>
    </row>
    <row r="8" spans="1:6">
      <c r="A8" s="86" t="s">
        <v>284</v>
      </c>
      <c r="B8" s="86" t="s">
        <v>285</v>
      </c>
      <c r="C8" s="86" t="str">
        <f>IFERROR(INDEX(Cost_of_Debt[FY],1)&amp;" / "&amp;IF(INDEX(Cost_of_Debt[Pre-Tax Cost of Debt],1)&gt;0,TEXT(INDEX(Cost_of_Debt[Pre-Tax Cost of Debt],1),"0.00%"),"n/a"),"")</f>
        <v>2025 / n/a</v>
      </c>
      <c r="D8" s="86" t="s">
        <v>286</v>
      </c>
      <c r="E8" s="86" t="str">
        <f>IF(AND(IFERROR(INDEX(Cost_of_Debt[FY],1),0)='Model Inputs'!B39,IFERROR(INDEX(Cost_of_Debt[Pre-Tax Cost of Debt],1),0)&gt;0),"PASS","WARN")</f>
        <v>WARN</v>
      </c>
      <c r="F8" s="86" t="s">
        <v>287</v>
      </c>
    </row>
    <row r="9" spans="1:6">
      <c r="A9" s="86" t="s">
        <v>288</v>
      </c>
      <c r="B9" s="86" t="s">
        <v>56</v>
      </c>
      <c r="C9" s="86" t="str">
        <f>'Data Queries'!E2</f>
        <v>297.84</v>
      </c>
      <c r="D9" s="86" t="s">
        <v>256</v>
      </c>
      <c r="E9" s="86" t="str">
        <f>IF(IFERROR(_xlfn.NUMBERVALUE(C9),0)&gt;0,"PASS","FAIL")</f>
        <v>PASS</v>
      </c>
      <c r="F9" s="86" t="s">
        <v>289</v>
      </c>
    </row>
    <row r="10" spans="1:6">
      <c r="A10" s="86" t="s">
        <v>175</v>
      </c>
      <c r="B10" s="86" t="s">
        <v>290</v>
      </c>
      <c r="C10" s="86" t="str">
        <f>'Data Queries'!E11</f>
        <v>1.07</v>
      </c>
      <c r="D10" s="86" t="s">
        <v>291</v>
      </c>
      <c r="E10" s="86" t="str">
        <f>IF(IFERROR(_xlfn.NUMBERVALUE(C10),0)&gt;0,"PASS","WARN")</f>
        <v>PASS</v>
      </c>
      <c r="F10" s="86" t="s">
        <v>292</v>
      </c>
    </row>
    <row r="11" spans="1:6">
      <c r="A11" s="86" t="s">
        <v>293</v>
      </c>
      <c r="B11" s="86" t="s">
        <v>239</v>
      </c>
      <c r="C11" s="86" t="str">
        <f>'Data Queries'!B2</f>
        <v>4.623%</v>
      </c>
      <c r="D11" s="86" t="s">
        <v>256</v>
      </c>
      <c r="E11" s="86" t="str">
        <f>IF(IFERROR(_xlfn.NUMBERVALUE(SUBSTITUTE(C11,"%","")),0)&gt;0,"PASS","FAIL")</f>
        <v>PASS</v>
      </c>
      <c r="F11" s="86" t="s">
        <v>294</v>
      </c>
    </row>
    <row r="12" spans="1:6">
      <c r="A12" s="86" t="s">
        <v>47</v>
      </c>
      <c r="B12" s="86" t="s">
        <v>295</v>
      </c>
      <c r="C12" s="88">
        <f>'Model Inputs'!B31</f>
        <v>0.15610002335586043</v>
      </c>
      <c r="D12" s="86" t="s">
        <v>296</v>
      </c>
      <c r="E12" s="86" t="str">
        <f>IF(AND(C12&gt;0,C12&lt;0.4),"PASS","WARN")</f>
        <v>PASS</v>
      </c>
      <c r="F12" s="86" t="s">
        <v>297</v>
      </c>
    </row>
    <row r="13" spans="1:6">
      <c r="A13" s="86" t="s">
        <v>298</v>
      </c>
      <c r="B13" s="86" t="s">
        <v>299</v>
      </c>
      <c r="C13" s="104" t="str">
        <f>'Model Inputs'!B22</f>
        <v>Year-End</v>
      </c>
      <c r="D13" s="86" t="s">
        <v>269</v>
      </c>
      <c r="E13" s="86" t="str">
        <f>IF(OR(C13="Mid-Year",C13="Year-End"),"PASS","FAIL")</f>
        <v>PASS</v>
      </c>
      <c r="F13" s="86" t="s">
        <v>300</v>
      </c>
    </row>
    <row r="14" spans="1:6">
      <c r="A14" s="86"/>
      <c r="B14" s="86"/>
      <c r="C14" s="86"/>
      <c r="D14" s="86"/>
      <c r="E14" s="86"/>
      <c r="F14" s="86"/>
    </row>
    <row r="15" spans="1:6">
      <c r="A15" s="86"/>
      <c r="B15" s="86"/>
      <c r="C15" s="86"/>
      <c r="D15" s="86"/>
      <c r="E15" s="86"/>
      <c r="F15" s="86"/>
    </row>
    <row r="16" spans="1:6">
      <c r="A16" s="105" t="s">
        <v>438</v>
      </c>
      <c r="B16" s="105"/>
      <c r="C16" s="105"/>
      <c r="D16" s="105"/>
      <c r="E16" s="105"/>
      <c r="F16" s="105"/>
    </row>
    <row r="17" spans="1:6">
      <c r="A17" s="86"/>
      <c r="B17" s="86"/>
      <c r="C17" s="86"/>
      <c r="D17" s="86"/>
      <c r="E17" s="86"/>
      <c r="F17" s="86"/>
    </row>
    <row r="18" spans="1:6">
      <c r="A18" s="86" t="s">
        <v>439</v>
      </c>
      <c r="B18" s="101" t="s">
        <v>276</v>
      </c>
      <c r="C18" s="101" t="s">
        <v>440</v>
      </c>
      <c r="D18" s="101" t="s">
        <v>252</v>
      </c>
      <c r="E18" s="101" t="s">
        <v>253</v>
      </c>
      <c r="F18" s="101" t="s">
        <v>441</v>
      </c>
    </row>
    <row r="19" spans="1:6">
      <c r="A19" s="86" t="s">
        <v>442</v>
      </c>
      <c r="B19" s="106">
        <f ca="1">NOW()</f>
        <v>46161.547284143518</v>
      </c>
      <c r="C19" s="86" t="s">
        <v>443</v>
      </c>
      <c r="D19" s="86" t="str">
        <f ca="1">IF(B19&lt;&gt;"","PASS","FAIL")</f>
        <v>PASS</v>
      </c>
      <c r="E19" s="86" t="s">
        <v>444</v>
      </c>
      <c r="F19" s="107">
        <f ca="1">NOW()</f>
        <v>46161.547284143518</v>
      </c>
    </row>
    <row r="20" spans="1:6">
      <c r="A20" s="86" t="s">
        <v>54</v>
      </c>
      <c r="B20" s="86" t="str">
        <f>DCF!A3</f>
        <v>AAPL</v>
      </c>
      <c r="C20" s="86" t="s">
        <v>445</v>
      </c>
      <c r="D20" s="86" t="str">
        <f>IF(B20&lt;&gt;"","PASS","FAIL")</f>
        <v>PASS</v>
      </c>
      <c r="E20" s="86" t="s">
        <v>446</v>
      </c>
      <c r="F20" s="108" t="str">
        <f>DCF!A3</f>
        <v>AAPL</v>
      </c>
    </row>
    <row r="21" spans="1:6">
      <c r="A21" s="86" t="s">
        <v>447</v>
      </c>
      <c r="B21" s="86" t="str">
        <f ca="1">'Model Checks'!A2</f>
        <v>FAIL</v>
      </c>
      <c r="C21" s="86" t="s">
        <v>432</v>
      </c>
      <c r="D21" s="86" t="str">
        <f ca="1">IF(B21="FAIL","FAIL",IF(B21="WARN","WARN","PASS"))</f>
        <v>FAIL</v>
      </c>
      <c r="E21" s="86" t="s">
        <v>448</v>
      </c>
      <c r="F21" s="108" t="str">
        <f ca="1">'Model Checks'!A2</f>
        <v>FAIL</v>
      </c>
    </row>
    <row r="22" spans="1:6">
      <c r="A22" s="86" t="s">
        <v>449</v>
      </c>
      <c r="B22" s="86">
        <f>ROWS(EDGAR_IncomeStatement[Line Item])</f>
        <v>18</v>
      </c>
      <c r="C22" s="86" t="s">
        <v>450</v>
      </c>
      <c r="D22" s="86" t="str">
        <f>IF(B22&gt;=10,"PASS","FAIL")</f>
        <v>PASS</v>
      </c>
      <c r="E22" s="86" t="s">
        <v>451</v>
      </c>
      <c r="F22" s="108">
        <f>ROWS(EDGAR_IncomeStatement[Line Item])</f>
        <v>18</v>
      </c>
    </row>
    <row r="23" spans="1:6">
      <c r="A23" s="86" t="s">
        <v>452</v>
      </c>
      <c r="B23" s="86">
        <f>ROWS(EDGAR_BalanceSheet[Line Item])</f>
        <v>27</v>
      </c>
      <c r="C23" s="86" t="s">
        <v>453</v>
      </c>
      <c r="D23" s="86" t="str">
        <f>IF(B23&gt;=20,"PASS","FAIL")</f>
        <v>PASS</v>
      </c>
      <c r="E23" s="86" t="s">
        <v>454</v>
      </c>
      <c r="F23" s="108">
        <f>ROWS(EDGAR_BalanceSheet[Line Item])</f>
        <v>27</v>
      </c>
    </row>
    <row r="24" spans="1:6">
      <c r="A24" s="86" t="s">
        <v>455</v>
      </c>
      <c r="B24" s="86">
        <f>ROWS(EDGAR_StatementOfCashFlows[Line Item])</f>
        <v>24</v>
      </c>
      <c r="C24" s="86" t="s">
        <v>456</v>
      </c>
      <c r="D24" s="86" t="str">
        <f>IF(B24&gt;=15,"PASS","FAIL")</f>
        <v>PASS</v>
      </c>
      <c r="E24" s="86" t="s">
        <v>457</v>
      </c>
      <c r="F24" s="108">
        <f>ROWS(EDGAR_StatementOfCashFlows[Line Item])</f>
        <v>24</v>
      </c>
    </row>
    <row r="25" spans="1:6">
      <c r="A25" s="86" t="s">
        <v>458</v>
      </c>
      <c r="B25" s="86">
        <f>ROWS(StockInformation[Metric])</f>
        <v>16</v>
      </c>
      <c r="C25" s="86" t="s">
        <v>459</v>
      </c>
      <c r="D25" s="86" t="str">
        <f>IF(B25&gt;=16,"PASS","WARN")</f>
        <v>PASS</v>
      </c>
      <c r="E25" s="86" t="s">
        <v>460</v>
      </c>
      <c r="F25" s="108">
        <f>ROWS(StockInformation[Metric])</f>
        <v>16</v>
      </c>
    </row>
    <row r="26" spans="1:6">
      <c r="A26" s="86" t="s">
        <v>461</v>
      </c>
      <c r="B26" s="86">
        <f>COUNTIF(StockInformation[Value],"n/a")+COUNTIF(StockInformation[Value],"--")</f>
        <v>0</v>
      </c>
      <c r="C26" s="86" t="s">
        <v>462</v>
      </c>
      <c r="D26" s="86" t="str">
        <f>IF(B26=0,"PASS","WARN")</f>
        <v>PASS</v>
      </c>
      <c r="E26" s="86" t="s">
        <v>463</v>
      </c>
      <c r="F26" s="108">
        <f>COUNTIF(StockInformation[Value],"n/a")+COUNTIF(StockInformation[Value],"--")</f>
        <v>0</v>
      </c>
    </row>
    <row r="27" spans="1:6">
      <c r="A27" s="86" t="s">
        <v>464</v>
      </c>
      <c r="B27" s="86">
        <f>COUNTIF('Model Inputs'!D25:D40,"MISSING")+COUNTIF('Model Inputs'!D25:D40,"INVALID*")</f>
        <v>0</v>
      </c>
      <c r="C27" s="30">
        <v>0</v>
      </c>
      <c r="D27" s="86" t="str">
        <f>IF(B27=0,"PASS","FAIL")</f>
        <v>PASS</v>
      </c>
      <c r="E27" s="86" t="s">
        <v>465</v>
      </c>
      <c r="F27" s="108"/>
    </row>
    <row r="28" spans="1:6">
      <c r="A28" s="86" t="s">
        <v>466</v>
      </c>
      <c r="B28" s="86">
        <f>COUNTIF('Model Inputs'!D25:D40,"CHECK")</f>
        <v>0</v>
      </c>
      <c r="C28" s="86" t="s">
        <v>462</v>
      </c>
      <c r="D28" s="86" t="str">
        <f>IF(B28=0,"PASS","WARN")</f>
        <v>PASS</v>
      </c>
      <c r="E28" s="86" t="s">
        <v>467</v>
      </c>
      <c r="F28" s="108"/>
    </row>
  </sheetData>
  <sheetProtection formatCells="0" formatColumns="0" formatRows="0" sort="0" autoFilter="0"/>
  <mergeCells count="1">
    <mergeCell ref="A1:F1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3989-5B6C-4BE3-85D1-DECCCEEDCED7}">
  <sheetPr>
    <tabColor rgb="FF2D2D2D"/>
  </sheetPr>
  <dimension ref="A1:N43"/>
  <sheetViews>
    <sheetView showGridLines="0" zoomScale="130" zoomScaleNormal="130" workbookViewId="0">
      <selection activeCell="H21" sqref="H21"/>
    </sheetView>
  </sheetViews>
  <sheetFormatPr defaultColWidth="8.875" defaultRowHeight="19.5"/>
  <cols>
    <col min="1" max="1" width="12.75" style="14" bestFit="1" customWidth="1"/>
    <col min="2" max="2" width="7.125" style="14" bestFit="1" customWidth="1"/>
    <col min="3" max="3" width="9.625" style="14" bestFit="1" customWidth="1"/>
    <col min="4" max="4" width="20.625" style="14" bestFit="1" customWidth="1"/>
    <col min="5" max="5" width="15.5" style="14" bestFit="1" customWidth="1"/>
    <col min="6" max="6" width="3" style="14" bestFit="1" customWidth="1"/>
    <col min="7" max="7" width="29.25" style="14" bestFit="1" customWidth="1"/>
    <col min="8" max="8" width="7.125" style="14" bestFit="1" customWidth="1"/>
    <col min="9" max="9" width="11.75" style="14" bestFit="1" customWidth="1"/>
    <col min="10" max="10" width="13.25" style="14" bestFit="1" customWidth="1"/>
    <col min="11" max="11" width="79.125" style="14" bestFit="1" customWidth="1"/>
    <col min="12" max="12" width="18.375" style="14" bestFit="1" customWidth="1"/>
    <col min="13" max="14" width="21.625" style="14" customWidth="1"/>
    <col min="15" max="16384" width="8.875" style="14"/>
  </cols>
  <sheetData>
    <row r="1" spans="1:14">
      <c r="A1" s="99" t="s">
        <v>239</v>
      </c>
      <c r="B1" s="100" t="s">
        <v>52</v>
      </c>
      <c r="C1" s="100"/>
      <c r="D1" s="109" t="s">
        <v>55</v>
      </c>
      <c r="E1" s="109" t="s">
        <v>52</v>
      </c>
      <c r="F1" s="100"/>
      <c r="G1" s="109" t="s">
        <v>69</v>
      </c>
      <c r="H1" s="109" t="s">
        <v>70</v>
      </c>
      <c r="I1" s="109" t="s">
        <v>71</v>
      </c>
      <c r="J1" s="109" t="s">
        <v>72</v>
      </c>
      <c r="K1" s="100"/>
      <c r="L1" s="89"/>
    </row>
    <row r="2" spans="1:14">
      <c r="A2" s="86" t="s">
        <v>51</v>
      </c>
      <c r="B2" s="86" t="s">
        <v>527</v>
      </c>
      <c r="C2" s="86"/>
      <c r="D2" s="40" t="s">
        <v>56</v>
      </c>
      <c r="E2" s="38" t="s">
        <v>511</v>
      </c>
      <c r="F2" s="86"/>
      <c r="G2" s="40" t="s">
        <v>73</v>
      </c>
      <c r="H2" s="32">
        <v>0.21</v>
      </c>
      <c r="I2" s="32">
        <v>0.21</v>
      </c>
      <c r="J2" s="110" t="s">
        <v>74</v>
      </c>
      <c r="K2" s="86"/>
      <c r="L2" s="38"/>
    </row>
    <row r="3" spans="1:14">
      <c r="A3" s="86"/>
      <c r="B3" s="86"/>
      <c r="C3" s="38"/>
      <c r="D3" s="40" t="s">
        <v>57</v>
      </c>
      <c r="E3" s="38" t="s">
        <v>512</v>
      </c>
      <c r="F3" s="86"/>
      <c r="G3" s="40" t="s">
        <v>75</v>
      </c>
      <c r="H3" s="32">
        <v>0.37</v>
      </c>
      <c r="I3" s="32">
        <v>0.37</v>
      </c>
      <c r="J3" s="110" t="s">
        <v>74</v>
      </c>
      <c r="K3" s="86"/>
      <c r="L3" s="86"/>
      <c r="N3" s="36"/>
    </row>
    <row r="4" spans="1:14">
      <c r="A4" s="86"/>
      <c r="B4" s="86"/>
      <c r="C4" s="86"/>
      <c r="D4" s="40" t="s">
        <v>58</v>
      </c>
      <c r="E4" s="38" t="s">
        <v>513</v>
      </c>
      <c r="F4" s="86"/>
      <c r="G4" s="40" t="s">
        <v>76</v>
      </c>
      <c r="H4" s="32">
        <v>0</v>
      </c>
      <c r="I4" s="32">
        <v>0</v>
      </c>
      <c r="J4" s="110" t="s">
        <v>74</v>
      </c>
      <c r="K4" s="86"/>
      <c r="L4" s="86"/>
      <c r="N4" s="36"/>
    </row>
    <row r="5" spans="1:14">
      <c r="A5" s="86"/>
      <c r="B5" s="86"/>
      <c r="C5" s="86"/>
      <c r="D5" s="40" t="s">
        <v>59</v>
      </c>
      <c r="E5" s="38" t="s">
        <v>514</v>
      </c>
      <c r="F5" s="86"/>
      <c r="G5" s="40" t="s">
        <v>77</v>
      </c>
      <c r="H5" s="32">
        <v>0.153</v>
      </c>
      <c r="I5" s="32">
        <v>0.153</v>
      </c>
      <c r="J5" s="110" t="s">
        <v>74</v>
      </c>
      <c r="K5" s="86"/>
      <c r="L5" s="86"/>
      <c r="N5" s="36"/>
    </row>
    <row r="6" spans="1:14">
      <c r="A6" s="86"/>
      <c r="B6" s="86"/>
      <c r="C6" s="86"/>
      <c r="D6" s="40" t="s">
        <v>60</v>
      </c>
      <c r="E6" s="38" t="s">
        <v>515</v>
      </c>
      <c r="F6" s="86"/>
      <c r="G6" s="40" t="s">
        <v>78</v>
      </c>
      <c r="H6" s="32">
        <v>7.6499999999999999E-2</v>
      </c>
      <c r="I6" s="32">
        <v>7.6499999999999999E-2</v>
      </c>
      <c r="J6" s="110" t="s">
        <v>74</v>
      </c>
      <c r="K6" s="86"/>
      <c r="L6" s="86"/>
      <c r="N6" s="36"/>
    </row>
    <row r="7" spans="1:14">
      <c r="A7" s="86"/>
      <c r="B7" s="86"/>
      <c r="C7" s="86"/>
      <c r="D7" s="40" t="s">
        <v>61</v>
      </c>
      <c r="E7" s="38" t="s">
        <v>516</v>
      </c>
      <c r="F7" s="86"/>
      <c r="G7" s="40" t="s">
        <v>79</v>
      </c>
      <c r="H7" s="32">
        <v>7.6499999999999999E-2</v>
      </c>
      <c r="I7" s="32">
        <v>7.6499999999999999E-2</v>
      </c>
      <c r="J7" s="110" t="s">
        <v>74</v>
      </c>
      <c r="K7" s="86"/>
      <c r="L7" s="86"/>
      <c r="N7" s="36"/>
    </row>
    <row r="8" spans="1:14">
      <c r="A8" s="86"/>
      <c r="B8" s="86"/>
      <c r="C8" s="86"/>
      <c r="D8" s="40" t="s">
        <v>62</v>
      </c>
      <c r="E8" s="38" t="s">
        <v>517</v>
      </c>
      <c r="F8" s="86"/>
      <c r="G8" s="40" t="s">
        <v>80</v>
      </c>
      <c r="H8" s="32">
        <v>0.3</v>
      </c>
      <c r="I8" s="32">
        <v>0.3</v>
      </c>
      <c r="J8" s="110" t="s">
        <v>81</v>
      </c>
      <c r="K8" s="86"/>
      <c r="L8" s="86"/>
      <c r="N8" s="36"/>
    </row>
    <row r="9" spans="1:14">
      <c r="A9" s="86"/>
      <c r="B9" s="86"/>
      <c r="C9" s="86"/>
      <c r="D9" s="40" t="s">
        <v>63</v>
      </c>
      <c r="E9" s="38" t="s">
        <v>518</v>
      </c>
      <c r="F9" s="86"/>
      <c r="G9" s="86"/>
      <c r="H9" s="86"/>
      <c r="I9" s="38"/>
      <c r="J9" s="38"/>
      <c r="K9" s="38"/>
      <c r="L9" s="38"/>
      <c r="M9" s="36"/>
      <c r="N9" s="36"/>
    </row>
    <row r="10" spans="1:14">
      <c r="A10" s="86"/>
      <c r="B10" s="86"/>
      <c r="C10" s="86"/>
      <c r="D10" s="40" t="s">
        <v>364</v>
      </c>
      <c r="E10" s="38" t="s">
        <v>519</v>
      </c>
      <c r="F10" s="86"/>
      <c r="G10" s="86"/>
      <c r="H10" s="86"/>
      <c r="I10" s="38"/>
      <c r="J10" s="38"/>
      <c r="K10" s="38"/>
      <c r="L10" s="38"/>
      <c r="M10" s="36"/>
      <c r="N10" s="36"/>
    </row>
    <row r="11" spans="1:14">
      <c r="A11" s="86"/>
      <c r="B11" s="86"/>
      <c r="C11" s="86"/>
      <c r="D11" s="40" t="s">
        <v>64</v>
      </c>
      <c r="E11" s="38" t="s">
        <v>520</v>
      </c>
      <c r="F11" s="86"/>
      <c r="G11" s="86"/>
      <c r="H11" s="86"/>
      <c r="I11" s="38"/>
      <c r="J11" s="38"/>
      <c r="K11" s="38"/>
      <c r="L11" s="38"/>
      <c r="M11" s="36"/>
      <c r="N11" s="36"/>
    </row>
    <row r="12" spans="1:14">
      <c r="A12" s="86"/>
      <c r="B12" s="86"/>
      <c r="C12" s="86"/>
      <c r="D12" s="40" t="s">
        <v>365</v>
      </c>
      <c r="E12" s="38" t="s">
        <v>521</v>
      </c>
      <c r="F12" s="86"/>
      <c r="G12" s="86"/>
      <c r="H12" s="86"/>
      <c r="I12" s="38"/>
      <c r="J12" s="38"/>
      <c r="K12" s="38"/>
      <c r="L12" s="38"/>
      <c r="M12" s="36"/>
      <c r="N12" s="36"/>
    </row>
    <row r="13" spans="1:14">
      <c r="A13" s="86"/>
      <c r="B13" s="86"/>
      <c r="C13" s="86"/>
      <c r="D13" s="40" t="s">
        <v>366</v>
      </c>
      <c r="E13" s="38" t="s">
        <v>522</v>
      </c>
      <c r="F13" s="86"/>
      <c r="G13" s="86"/>
      <c r="H13" s="86"/>
      <c r="I13" s="38"/>
      <c r="J13" s="38"/>
      <c r="K13" s="38"/>
      <c r="L13" s="38"/>
      <c r="M13" s="36"/>
      <c r="N13" s="36"/>
    </row>
    <row r="14" spans="1:14">
      <c r="A14" s="86"/>
      <c r="B14" s="86"/>
      <c r="C14" s="86"/>
      <c r="D14" s="40" t="s">
        <v>65</v>
      </c>
      <c r="E14" s="38" t="s">
        <v>523</v>
      </c>
      <c r="F14" s="86"/>
      <c r="G14" s="86"/>
      <c r="H14" s="86"/>
      <c r="I14" s="38"/>
      <c r="J14" s="38"/>
      <c r="K14" s="38"/>
      <c r="L14" s="38"/>
      <c r="M14" s="36"/>
      <c r="N14" s="36"/>
    </row>
    <row r="15" spans="1:14">
      <c r="A15" s="86"/>
      <c r="B15" s="86"/>
      <c r="C15" s="86"/>
      <c r="D15" s="40" t="s">
        <v>66</v>
      </c>
      <c r="E15" s="38" t="s">
        <v>524</v>
      </c>
      <c r="F15" s="86"/>
      <c r="G15" s="86"/>
      <c r="H15" s="86"/>
      <c r="I15" s="38"/>
      <c r="J15" s="38"/>
      <c r="K15" s="38"/>
      <c r="L15" s="38"/>
      <c r="M15" s="36"/>
      <c r="N15" s="36"/>
    </row>
    <row r="16" spans="1:14">
      <c r="A16" s="86"/>
      <c r="B16" s="86"/>
      <c r="C16" s="86"/>
      <c r="D16" s="40" t="s">
        <v>67</v>
      </c>
      <c r="E16" s="38" t="s">
        <v>525</v>
      </c>
      <c r="F16" s="86"/>
      <c r="G16" s="86"/>
      <c r="H16" s="86"/>
      <c r="I16" s="38"/>
      <c r="J16" s="38"/>
      <c r="K16" s="38"/>
      <c r="L16" s="38"/>
      <c r="M16" s="36"/>
      <c r="N16" s="36"/>
    </row>
    <row r="17" spans="1:14">
      <c r="A17" s="86"/>
      <c r="B17" s="86"/>
      <c r="C17" s="86"/>
      <c r="D17" s="40" t="s">
        <v>68</v>
      </c>
      <c r="E17" s="38" t="s">
        <v>526</v>
      </c>
      <c r="F17" s="86"/>
      <c r="G17" s="86"/>
      <c r="H17" s="86"/>
      <c r="I17" s="38"/>
      <c r="J17" s="38"/>
      <c r="K17" s="38"/>
      <c r="L17" s="38"/>
      <c r="M17" s="36"/>
      <c r="N17" s="36"/>
    </row>
    <row r="18" spans="1:14">
      <c r="A18" s="86"/>
      <c r="B18" s="86"/>
      <c r="C18" s="86"/>
      <c r="D18" s="86"/>
      <c r="E18" s="38"/>
      <c r="F18" s="38"/>
      <c r="G18" s="38"/>
      <c r="H18" s="38"/>
      <c r="I18" s="38"/>
      <c r="J18" s="38"/>
      <c r="K18" s="38"/>
      <c r="L18" s="38"/>
      <c r="M18" s="36"/>
      <c r="N18" s="36"/>
    </row>
    <row r="19" spans="1:14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</row>
    <row r="20" spans="1:14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</row>
    <row r="21" spans="1:14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N21" s="1"/>
    </row>
    <row r="22" spans="1:14">
      <c r="A22" s="53" t="s">
        <v>54</v>
      </c>
      <c r="B22" s="37" t="s">
        <v>85</v>
      </c>
      <c r="C22" s="37" t="s">
        <v>82</v>
      </c>
      <c r="D22" s="37" t="s">
        <v>133</v>
      </c>
      <c r="E22" s="37" t="s">
        <v>95</v>
      </c>
      <c r="F22" s="37" t="s">
        <v>88</v>
      </c>
      <c r="G22" s="37" t="s">
        <v>156</v>
      </c>
      <c r="H22" s="37" t="s">
        <v>157</v>
      </c>
      <c r="I22" s="37" t="s">
        <v>158</v>
      </c>
      <c r="J22" s="37" t="s">
        <v>46</v>
      </c>
      <c r="K22" s="37" t="s">
        <v>159</v>
      </c>
      <c r="L22" s="37" t="s">
        <v>48</v>
      </c>
    </row>
    <row r="23" spans="1:14">
      <c r="A23" s="53" t="s">
        <v>506</v>
      </c>
      <c r="B23" s="33">
        <v>2025</v>
      </c>
      <c r="C23" s="53" t="s">
        <v>507</v>
      </c>
      <c r="D23" s="111"/>
      <c r="E23" s="93"/>
      <c r="F23" s="93"/>
      <c r="G23" s="34">
        <v>90678000000</v>
      </c>
      <c r="H23" s="34">
        <v>96662000000</v>
      </c>
      <c r="I23" s="34">
        <v>93670000000</v>
      </c>
      <c r="J23" s="112"/>
      <c r="K23" s="112">
        <v>0.15610002335586001</v>
      </c>
      <c r="L23" s="112"/>
    </row>
    <row r="24" spans="1:14">
      <c r="A24" s="86"/>
      <c r="B24" s="86"/>
      <c r="C24" s="86"/>
      <c r="D24" s="86"/>
      <c r="E24" s="86"/>
      <c r="F24" s="86"/>
      <c r="G24" s="38"/>
      <c r="H24" s="38"/>
      <c r="I24" s="38"/>
      <c r="J24" s="38"/>
      <c r="K24" s="38"/>
      <c r="L24" s="38"/>
      <c r="M24" s="36"/>
      <c r="N24" s="36"/>
    </row>
    <row r="25" spans="1:14">
      <c r="A25" s="53" t="s">
        <v>54</v>
      </c>
      <c r="B25" s="37" t="s">
        <v>82</v>
      </c>
      <c r="C25" s="37" t="s">
        <v>83</v>
      </c>
      <c r="D25" s="37" t="s">
        <v>84</v>
      </c>
      <c r="E25" s="37" t="s">
        <v>85</v>
      </c>
      <c r="F25" s="37" t="s">
        <v>86</v>
      </c>
      <c r="G25" s="37" t="s">
        <v>87</v>
      </c>
      <c r="H25" s="37" t="s">
        <v>88</v>
      </c>
      <c r="I25" s="37" t="s">
        <v>89</v>
      </c>
      <c r="J25" s="37" t="s">
        <v>90</v>
      </c>
      <c r="K25" s="37" t="s">
        <v>91</v>
      </c>
      <c r="L25" s="86"/>
      <c r="N25" s="36"/>
    </row>
    <row r="26" spans="1:14">
      <c r="A26" s="53" t="s">
        <v>506</v>
      </c>
      <c r="B26" s="53" t="s">
        <v>507</v>
      </c>
      <c r="C26" s="53" t="s">
        <v>508</v>
      </c>
      <c r="D26" s="53" t="s">
        <v>92</v>
      </c>
      <c r="E26" s="33">
        <v>2025</v>
      </c>
      <c r="F26" s="53" t="s">
        <v>85</v>
      </c>
      <c r="G26" s="21">
        <v>45947</v>
      </c>
      <c r="H26" s="21">
        <v>45961</v>
      </c>
      <c r="I26" s="35">
        <v>14776353000</v>
      </c>
      <c r="J26" s="53" t="s">
        <v>509</v>
      </c>
      <c r="K26" s="53" t="s">
        <v>510</v>
      </c>
      <c r="L26" s="86"/>
      <c r="N26" s="36"/>
    </row>
    <row r="27" spans="1:14">
      <c r="G27" s="36"/>
      <c r="H27" s="36"/>
      <c r="I27" s="36"/>
      <c r="J27" s="36"/>
      <c r="K27" s="36"/>
      <c r="L27" s="36"/>
      <c r="M27" s="36"/>
      <c r="N27" s="36"/>
    </row>
    <row r="28" spans="1:14">
      <c r="G28" s="36"/>
      <c r="H28" s="36"/>
      <c r="I28" s="36"/>
      <c r="J28" s="36"/>
      <c r="K28" s="36"/>
      <c r="L28" s="36"/>
      <c r="M28" s="36"/>
      <c r="N28" s="36"/>
    </row>
    <row r="31" spans="1:14"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</row>
    <row r="34" spans="7:14">
      <c r="N34" s="36"/>
    </row>
    <row r="39" spans="7:14">
      <c r="G39" s="116"/>
    </row>
    <row r="40" spans="7:14">
      <c r="G40" s="116"/>
    </row>
    <row r="41" spans="7:14">
      <c r="G41" s="116"/>
    </row>
    <row r="42" spans="7:14">
      <c r="G42" s="116"/>
    </row>
    <row r="43" spans="7:14">
      <c r="G43" s="116"/>
    </row>
  </sheetData>
  <sheetProtection formatCells="0" formatColumns="0" formatRows="0" sort="0" autoFilter="0"/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D6AC-F89F-4C0F-929C-707B550BB89D}">
  <sheetPr>
    <tabColor rgb="FF2D2D2D"/>
  </sheetPr>
  <dimension ref="A1:C10"/>
  <sheetViews>
    <sheetView showGridLines="0" zoomScale="160" zoomScaleNormal="160" workbookViewId="0">
      <selection activeCell="B11" sqref="B11"/>
    </sheetView>
  </sheetViews>
  <sheetFormatPr defaultRowHeight="15.75"/>
  <cols>
    <col min="1" max="1" width="30.625" style="1" bestFit="1" customWidth="1"/>
    <col min="2" max="2" width="31.5" style="1" bestFit="1" customWidth="1"/>
    <col min="3" max="3" width="94.5" style="1" bestFit="1" customWidth="1"/>
    <col min="4" max="16384" width="9" style="1"/>
  </cols>
  <sheetData>
    <row r="1" spans="1:3" ht="26.1" customHeight="1">
      <c r="A1" s="132" t="s">
        <v>309</v>
      </c>
      <c r="B1" s="132"/>
      <c r="C1" s="132"/>
    </row>
    <row r="2" spans="1:3">
      <c r="A2" s="133"/>
      <c r="B2" s="133"/>
      <c r="C2" s="133"/>
    </row>
    <row r="3" spans="1:3">
      <c r="A3" s="113" t="s">
        <v>310</v>
      </c>
      <c r="B3" s="114" t="s">
        <v>311</v>
      </c>
      <c r="C3" s="114" t="s">
        <v>312</v>
      </c>
    </row>
    <row r="4" spans="1:3">
      <c r="A4" s="115" t="s">
        <v>313</v>
      </c>
      <c r="B4" s="115" t="s">
        <v>314</v>
      </c>
      <c r="C4" s="115" t="s">
        <v>315</v>
      </c>
    </row>
    <row r="5" spans="1:3">
      <c r="A5" s="115" t="s">
        <v>316</v>
      </c>
      <c r="B5" s="115" t="s">
        <v>317</v>
      </c>
      <c r="C5" s="115" t="s">
        <v>318</v>
      </c>
    </row>
    <row r="6" spans="1:3">
      <c r="A6" s="115" t="s">
        <v>175</v>
      </c>
      <c r="B6" s="115" t="s">
        <v>319</v>
      </c>
      <c r="C6" s="115" t="s">
        <v>320</v>
      </c>
    </row>
    <row r="7" spans="1:3">
      <c r="A7" s="115" t="s">
        <v>321</v>
      </c>
      <c r="B7" s="115" t="s">
        <v>322</v>
      </c>
      <c r="C7" s="115" t="s">
        <v>323</v>
      </c>
    </row>
    <row r="8" spans="1:3">
      <c r="A8" s="115" t="s">
        <v>324</v>
      </c>
      <c r="B8" s="115" t="s">
        <v>325</v>
      </c>
      <c r="C8" s="115" t="s">
        <v>326</v>
      </c>
    </row>
    <row r="9" spans="1:3">
      <c r="A9" s="115" t="s">
        <v>327</v>
      </c>
      <c r="B9" s="115" t="s">
        <v>328</v>
      </c>
      <c r="C9" s="115" t="s">
        <v>329</v>
      </c>
    </row>
    <row r="10" spans="1:3">
      <c r="A10" s="115" t="s">
        <v>330</v>
      </c>
      <c r="B10" s="115" t="s">
        <v>331</v>
      </c>
      <c r="C10" s="115" t="s">
        <v>332</v>
      </c>
    </row>
  </sheetData>
  <sheetProtection formatCells="0" formatColumns="0" formatRows="0" sort="0" autoFilter="0"/>
  <mergeCells count="1">
    <mergeCell ref="A1:C2"/>
  </mergeCells>
  <pageMargins left="0.7" right="0.7" top="0.75" bottom="0.75" header="0.3" footer="0.3"/>
  <headerFooter>
    <oddHeader>&amp;LIsaiah Moragne, MBA&amp;Risaiahmba.com</oddHeader>
    <oddFooter>&amp;C© 2026 Isaiah Moragne, MBA — Educational use only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26908-1BEB-4CD3-9E8A-2B82A853C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Cover</vt:lpstr>
      <vt:lpstr>DCF</vt:lpstr>
      <vt:lpstr>Model Inputs</vt:lpstr>
      <vt:lpstr>WACC</vt:lpstr>
      <vt:lpstr>Working Capital</vt:lpstr>
      <vt:lpstr>3 Statements</vt:lpstr>
      <vt:lpstr>Historical Actuals</vt:lpstr>
      <vt:lpstr>Model Checks</vt:lpstr>
      <vt:lpstr>Source Audit</vt:lpstr>
      <vt:lpstr>Data Queries</vt:lpstr>
      <vt:lpstr>Query Setup</vt:lpstr>
      <vt:lpstr>BetaFallback</vt:lpstr>
      <vt:lpstr>TickerCell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Moragne, Isaiah</dc:creator>
  <cp:lastModifiedBy>Isaiah Moragne</cp:lastModifiedBy>
  <dcterms:created xsi:type="dcterms:W3CDTF">2026-04-26T20:12:08Z</dcterms:created>
  <dcterms:modified xsi:type="dcterms:W3CDTF">2026-05-19T17:08:18Z</dcterms:modified>
</cp:coreProperties>
</file>